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d4fc568b21d240e/Z-Factor_Paper/"/>
    </mc:Choice>
  </mc:AlternateContent>
  <xr:revisionPtr revIDLastSave="180" documentId="8_{F0963791-D3BF-4AF0-B663-F14B6B8769C5}" xr6:coauthVersionLast="47" xr6:coauthVersionMax="47" xr10:uidLastSave="{3EC9478E-AAE1-42A2-94C3-D62130C2EC85}"/>
  <bookViews>
    <workbookView xWindow="-110" yWindow="-110" windowWidth="24220" windowHeight="15500" xr2:uid="{66A3F94C-5BF7-4D5D-A69F-40AE7AA3D403}"/>
  </bookViews>
  <sheets>
    <sheet name="Sheet1" sheetId="1" r:id="rId1"/>
  </sheets>
  <functionGroups builtInGroupCount="19"/>
  <definedNames>
    <definedName name="degR">Sheet1!$N$25</definedName>
    <definedName name="MW">Sheet1!$L$25</definedName>
    <definedName name="solver_adj" localSheetId="0" hidden="1">Sheet1!#REF!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Sheet1!#REF!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B4" i="1"/>
  <c r="C4" i="1"/>
  <c r="D4" i="1"/>
  <c r="E4" i="1"/>
  <c r="E5" i="1" s="1"/>
  <c r="E6" i="1" s="1"/>
  <c r="E7" i="1" s="1"/>
  <c r="E8" i="1" s="1"/>
  <c r="E9" i="1" s="1"/>
  <c r="E10" i="1" s="1"/>
  <c r="F4" i="1"/>
  <c r="F5" i="1" s="1"/>
  <c r="F6" i="1" s="1"/>
  <c r="F7" i="1" s="1"/>
  <c r="F8" i="1" s="1"/>
  <c r="F9" i="1" s="1"/>
  <c r="G4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B5" i="1"/>
  <c r="C5" i="1"/>
  <c r="D5" i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C6" i="1"/>
  <c r="D6" i="1"/>
  <c r="C7" i="1"/>
  <c r="C8" i="1" s="1"/>
  <c r="D7" i="1"/>
  <c r="D8" i="1"/>
  <c r="D9" i="1" s="1"/>
  <c r="C9" i="1"/>
  <c r="C10" i="1" s="1"/>
  <c r="C11" i="1" s="1"/>
  <c r="C12" i="1" s="1"/>
  <c r="C13" i="1" s="1"/>
  <c r="C14" i="1" s="1"/>
  <c r="D10" i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F10" i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E11" i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C15" i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D3" i="1"/>
  <c r="E3" i="1"/>
  <c r="F3" i="1"/>
  <c r="G3" i="1"/>
  <c r="B3" i="1"/>
  <c r="C3" i="1"/>
  <c r="R25" i="1" a="1"/>
  <c r="R27" i="1" a="1"/>
  <c r="R29" i="1" a="1"/>
  <c r="R26" i="1" a="1"/>
  <c r="R28" i="1" a="1"/>
  <c r="R24" i="1" a="1"/>
  <c r="R28" i="1" l="1"/>
  <c r="R26" i="1"/>
  <c r="R29" i="1"/>
  <c r="R27" i="1"/>
  <c r="R25" i="1"/>
  <c r="R24" i="1"/>
  <c r="S26" i="1" a="1"/>
  <c r="S25" i="1" a="1"/>
  <c r="S28" i="1" a="1"/>
  <c r="S29" i="1" a="1"/>
  <c r="S27" i="1" a="1"/>
  <c r="S24" i="1" a="1"/>
  <c r="H2" i="1" a="1"/>
  <c r="S27" i="1" l="1"/>
  <c r="S29" i="1"/>
  <c r="S28" i="1"/>
  <c r="S25" i="1"/>
  <c r="S26" i="1"/>
  <c r="S24" i="1"/>
  <c r="H2" i="1"/>
  <c r="I2" i="1" a="1"/>
  <c r="I2" i="1" l="1"/>
  <c r="A3" i="1"/>
  <c r="H3" i="1" a="1"/>
  <c r="H3" i="1" l="1"/>
  <c r="I3" i="1" a="1"/>
  <c r="H4" i="1" a="1"/>
  <c r="H4" i="1" l="1"/>
  <c r="I3" i="1"/>
  <c r="I4" i="1" a="1"/>
  <c r="H5" i="1" a="1"/>
  <c r="H5" i="1" l="1"/>
  <c r="I4" i="1"/>
  <c r="I5" i="1" a="1"/>
  <c r="H6" i="1" a="1"/>
  <c r="H6" i="1" l="1"/>
  <c r="I5" i="1"/>
  <c r="I6" i="1" a="1"/>
  <c r="H7" i="1" a="1"/>
  <c r="H7" i="1" l="1"/>
  <c r="I6" i="1"/>
  <c r="I7" i="1" a="1"/>
  <c r="H8" i="1" a="1"/>
  <c r="H8" i="1" l="1"/>
  <c r="I7" i="1"/>
  <c r="I8" i="1" a="1"/>
  <c r="H9" i="1" a="1"/>
  <c r="H9" i="1" l="1"/>
  <c r="I8" i="1"/>
  <c r="I9" i="1" a="1"/>
  <c r="H10" i="1" a="1"/>
  <c r="H10" i="1" l="1"/>
  <c r="I9" i="1"/>
  <c r="I10" i="1" a="1"/>
  <c r="H11" i="1" a="1"/>
  <c r="H11" i="1" l="1"/>
  <c r="I10" i="1"/>
  <c r="I11" i="1" a="1"/>
  <c r="H12" i="1" a="1"/>
  <c r="H12" i="1" l="1"/>
  <c r="I11" i="1"/>
  <c r="I12" i="1" a="1"/>
  <c r="H13" i="1" a="1"/>
  <c r="H13" i="1" l="1"/>
  <c r="I12" i="1"/>
  <c r="I13" i="1" a="1"/>
  <c r="H14" i="1" a="1"/>
  <c r="H14" i="1" l="1"/>
  <c r="I13" i="1"/>
  <c r="I14" i="1" a="1"/>
  <c r="H15" i="1" a="1"/>
  <c r="H15" i="1" l="1"/>
  <c r="I14" i="1"/>
  <c r="I15" i="1" a="1"/>
  <c r="H16" i="1" a="1"/>
  <c r="H16" i="1" l="1"/>
  <c r="I15" i="1"/>
  <c r="I16" i="1" a="1"/>
  <c r="H17" i="1" a="1"/>
  <c r="H17" i="1" l="1"/>
  <c r="I16" i="1"/>
  <c r="I17" i="1" a="1"/>
  <c r="H18" i="1" a="1"/>
  <c r="H18" i="1" l="1"/>
  <c r="I17" i="1"/>
  <c r="I18" i="1" a="1"/>
  <c r="H19" i="1" a="1"/>
  <c r="H19" i="1" l="1"/>
  <c r="I18" i="1"/>
  <c r="I19" i="1" a="1"/>
  <c r="H20" i="1" a="1"/>
  <c r="H20" i="1" l="1"/>
  <c r="I19" i="1"/>
  <c r="I20" i="1" a="1"/>
  <c r="H21" i="1" a="1"/>
  <c r="H21" i="1" l="1"/>
  <c r="I20" i="1"/>
  <c r="I21" i="1" a="1"/>
  <c r="H22" i="1" a="1"/>
  <c r="H22" i="1" l="1"/>
  <c r="I21" i="1"/>
  <c r="I22" i="1" a="1"/>
  <c r="H23" i="1" a="1"/>
  <c r="H23" i="1" l="1"/>
  <c r="I22" i="1"/>
  <c r="I23" i="1" a="1"/>
  <c r="H24" i="1" a="1"/>
  <c r="H24" i="1" l="1"/>
  <c r="I23" i="1"/>
  <c r="I24" i="1" a="1"/>
  <c r="H25" i="1" a="1"/>
  <c r="H25" i="1" l="1"/>
  <c r="I24" i="1"/>
  <c r="I25" i="1" a="1"/>
  <c r="H26" i="1" a="1"/>
  <c r="H26" i="1" l="1"/>
  <c r="I25" i="1"/>
  <c r="H27" i="1" a="1"/>
  <c r="I26" i="1" a="1"/>
  <c r="I26" i="1" l="1"/>
  <c r="H27" i="1"/>
  <c r="I27" i="1" a="1"/>
  <c r="H28" i="1" a="1"/>
  <c r="H28" i="1" l="1"/>
  <c r="I27" i="1"/>
  <c r="I28" i="1" a="1"/>
  <c r="H29" i="1" a="1"/>
  <c r="H29" i="1" l="1"/>
  <c r="I28" i="1"/>
  <c r="I29" i="1" a="1"/>
  <c r="H30" i="1" a="1"/>
  <c r="H30" i="1" l="1"/>
  <c r="I29" i="1"/>
  <c r="I30" i="1" a="1"/>
  <c r="H31" i="1" a="1"/>
  <c r="H31" i="1" l="1"/>
  <c r="I30" i="1"/>
  <c r="I31" i="1" a="1"/>
  <c r="H32" i="1" a="1"/>
  <c r="H32" i="1" l="1"/>
  <c r="I31" i="1"/>
  <c r="I32" i="1" a="1"/>
  <c r="H33" i="1" a="1"/>
  <c r="H33" i="1" l="1"/>
  <c r="I32" i="1"/>
  <c r="I33" i="1" a="1"/>
  <c r="H34" i="1" a="1"/>
  <c r="H34" i="1" l="1"/>
  <c r="I33" i="1"/>
  <c r="I34" i="1" a="1"/>
  <c r="H35" i="1" a="1"/>
  <c r="H35" i="1" l="1"/>
  <c r="I34" i="1"/>
  <c r="I35" i="1" a="1"/>
  <c r="H36" i="1" a="1"/>
  <c r="H36" i="1" l="1"/>
  <c r="I35" i="1"/>
  <c r="I36" i="1" a="1"/>
  <c r="H37" i="1" a="1"/>
  <c r="H37" i="1" l="1"/>
  <c r="I36" i="1"/>
  <c r="I37" i="1" a="1"/>
  <c r="H38" i="1" a="1"/>
  <c r="H38" i="1" l="1"/>
  <c r="I37" i="1"/>
  <c r="I38" i="1" a="1"/>
  <c r="H39" i="1" a="1"/>
  <c r="H39" i="1" l="1"/>
  <c r="I38" i="1"/>
  <c r="I39" i="1" a="1"/>
  <c r="H40" i="1" a="1"/>
  <c r="H40" i="1" l="1"/>
  <c r="I39" i="1"/>
  <c r="I40" i="1" a="1"/>
  <c r="H41" i="1" a="1"/>
  <c r="H41" i="1" l="1"/>
  <c r="I40" i="1"/>
  <c r="I41" i="1" a="1"/>
  <c r="H42" i="1" a="1"/>
  <c r="H42" i="1" l="1"/>
  <c r="I41" i="1"/>
  <c r="I42" i="1" a="1"/>
  <c r="H43" i="1" a="1"/>
  <c r="H43" i="1" l="1"/>
  <c r="I42" i="1"/>
  <c r="I43" i="1" a="1"/>
  <c r="H44" i="1" a="1"/>
  <c r="H44" i="1" l="1"/>
  <c r="I43" i="1"/>
  <c r="I44" i="1" a="1"/>
  <c r="H45" i="1" a="1"/>
  <c r="H45" i="1" l="1"/>
  <c r="I44" i="1"/>
  <c r="I45" i="1" a="1"/>
  <c r="H46" i="1" a="1"/>
  <c r="H46" i="1" l="1"/>
  <c r="I45" i="1"/>
  <c r="I46" i="1" a="1"/>
  <c r="H47" i="1" a="1"/>
  <c r="H47" i="1" l="1"/>
  <c r="I46" i="1"/>
  <c r="H48" i="1" a="1"/>
  <c r="I47" i="1" a="1"/>
  <c r="I47" i="1" l="1"/>
  <c r="H48" i="1"/>
  <c r="H49" i="1" a="1"/>
  <c r="I48" i="1" a="1"/>
  <c r="I48" i="1" l="1"/>
  <c r="H49" i="1"/>
  <c r="I49" i="1" a="1"/>
  <c r="H50" i="1" a="1"/>
  <c r="H50" i="1" l="1"/>
  <c r="I49" i="1"/>
  <c r="I50" i="1" a="1"/>
  <c r="H51" i="1" a="1"/>
  <c r="H51" i="1" l="1"/>
  <c r="I50" i="1"/>
  <c r="I51" i="1" a="1"/>
  <c r="H52" i="1" a="1"/>
  <c r="H52" i="1" l="1"/>
  <c r="I51" i="1"/>
  <c r="I52" i="1" a="1"/>
  <c r="H53" i="1" a="1"/>
  <c r="H53" i="1" l="1"/>
  <c r="I52" i="1"/>
  <c r="I53" i="1" a="1"/>
  <c r="H54" i="1" a="1"/>
  <c r="H54" i="1" l="1"/>
  <c r="I53" i="1"/>
  <c r="I54" i="1" a="1"/>
  <c r="H55" i="1" a="1"/>
  <c r="H55" i="1" l="1"/>
  <c r="I54" i="1"/>
  <c r="I55" i="1" a="1"/>
  <c r="H56" i="1" a="1"/>
  <c r="H56" i="1" l="1"/>
  <c r="I55" i="1"/>
  <c r="I56" i="1" a="1"/>
  <c r="H57" i="1" a="1"/>
  <c r="H57" i="1" l="1"/>
  <c r="I56" i="1"/>
  <c r="I57" i="1" a="1"/>
  <c r="H58" i="1" a="1"/>
  <c r="H58" i="1" l="1"/>
  <c r="I57" i="1"/>
  <c r="I58" i="1" a="1"/>
  <c r="H59" i="1" a="1"/>
  <c r="H59" i="1" l="1"/>
  <c r="I58" i="1"/>
  <c r="I59" i="1" a="1"/>
  <c r="H60" i="1" a="1"/>
  <c r="H60" i="1" l="1"/>
  <c r="I59" i="1"/>
  <c r="I60" i="1" a="1"/>
  <c r="H61" i="1" a="1"/>
  <c r="H61" i="1" l="1"/>
  <c r="I60" i="1"/>
  <c r="I61" i="1" a="1"/>
  <c r="H62" i="1" a="1"/>
  <c r="H62" i="1" l="1"/>
  <c r="I61" i="1"/>
  <c r="I62" i="1" a="1"/>
  <c r="H63" i="1" a="1"/>
  <c r="H63" i="1" l="1"/>
  <c r="I62" i="1"/>
  <c r="I63" i="1" a="1"/>
  <c r="H64" i="1" a="1"/>
  <c r="H64" i="1" l="1"/>
  <c r="I63" i="1"/>
  <c r="I64" i="1" a="1"/>
  <c r="H65" i="1" a="1"/>
  <c r="H65" i="1" l="1"/>
  <c r="I64" i="1"/>
  <c r="I65" i="1" a="1"/>
  <c r="H66" i="1" a="1"/>
  <c r="H66" i="1" l="1"/>
  <c r="I65" i="1"/>
  <c r="I66" i="1" a="1"/>
  <c r="H67" i="1" a="1"/>
  <c r="H67" i="1" l="1"/>
  <c r="I66" i="1"/>
  <c r="I67" i="1" a="1"/>
  <c r="H68" i="1" a="1"/>
  <c r="H68" i="1" l="1"/>
  <c r="I67" i="1"/>
  <c r="I68" i="1" a="1"/>
  <c r="H69" i="1" a="1"/>
  <c r="H69" i="1" l="1"/>
  <c r="I68" i="1"/>
  <c r="I69" i="1" a="1"/>
  <c r="H70" i="1" a="1"/>
  <c r="H70" i="1" l="1"/>
  <c r="I69" i="1"/>
  <c r="I70" i="1" a="1"/>
  <c r="H71" i="1" a="1"/>
  <c r="H71" i="1" l="1"/>
  <c r="I70" i="1"/>
  <c r="I71" i="1" a="1"/>
  <c r="H72" i="1" a="1"/>
  <c r="H72" i="1" l="1"/>
  <c r="I71" i="1"/>
  <c r="I72" i="1" a="1"/>
  <c r="H73" i="1" a="1"/>
  <c r="H73" i="1" l="1"/>
  <c r="I72" i="1"/>
  <c r="I73" i="1" a="1"/>
  <c r="H74" i="1" a="1"/>
  <c r="H74" i="1" l="1"/>
  <c r="I73" i="1"/>
  <c r="I74" i="1" a="1"/>
  <c r="H75" i="1" a="1"/>
  <c r="H75" i="1" l="1"/>
  <c r="I74" i="1"/>
  <c r="I75" i="1" a="1"/>
  <c r="H76" i="1" a="1"/>
  <c r="H76" i="1" l="1"/>
  <c r="I75" i="1"/>
  <c r="I76" i="1" a="1"/>
  <c r="H77" i="1" a="1"/>
  <c r="H77" i="1" l="1"/>
  <c r="I76" i="1"/>
  <c r="I77" i="1" a="1"/>
  <c r="H78" i="1" a="1"/>
  <c r="H78" i="1" l="1"/>
  <c r="I77" i="1"/>
  <c r="I78" i="1" a="1"/>
  <c r="H79" i="1" a="1"/>
  <c r="H79" i="1" l="1"/>
  <c r="I78" i="1"/>
  <c r="I79" i="1" a="1"/>
  <c r="H80" i="1" a="1"/>
  <c r="H80" i="1" l="1"/>
  <c r="I79" i="1"/>
  <c r="I80" i="1" a="1"/>
  <c r="H81" i="1" a="1"/>
  <c r="H81" i="1" l="1"/>
  <c r="I80" i="1"/>
  <c r="H82" i="1" a="1"/>
  <c r="I81" i="1" a="1"/>
  <c r="I81" i="1" l="1"/>
  <c r="H82" i="1"/>
  <c r="I82" i="1" a="1"/>
  <c r="H83" i="1" a="1"/>
  <c r="H83" i="1" l="1"/>
  <c r="I82" i="1"/>
  <c r="I83" i="1" a="1"/>
  <c r="H84" i="1" a="1"/>
  <c r="H84" i="1" l="1"/>
  <c r="I83" i="1"/>
  <c r="I84" i="1" a="1"/>
  <c r="H85" i="1" a="1"/>
  <c r="H85" i="1" l="1"/>
  <c r="I84" i="1"/>
  <c r="I85" i="1" a="1"/>
  <c r="H86" i="1" a="1"/>
  <c r="H86" i="1" l="1"/>
  <c r="I85" i="1"/>
  <c r="I86" i="1" a="1"/>
  <c r="H87" i="1" a="1"/>
  <c r="H87" i="1" l="1"/>
  <c r="I86" i="1"/>
  <c r="I87" i="1" a="1"/>
  <c r="H88" i="1" a="1"/>
  <c r="H88" i="1" l="1"/>
  <c r="I87" i="1"/>
  <c r="I88" i="1" a="1"/>
  <c r="H89" i="1" a="1"/>
  <c r="H89" i="1" l="1"/>
  <c r="I88" i="1"/>
  <c r="I89" i="1" a="1"/>
  <c r="H90" i="1" a="1"/>
  <c r="H90" i="1" l="1"/>
  <c r="I89" i="1"/>
  <c r="I90" i="1" a="1"/>
  <c r="H91" i="1" a="1"/>
  <c r="H91" i="1" l="1"/>
  <c r="I90" i="1"/>
  <c r="I91" i="1" a="1"/>
  <c r="H92" i="1" a="1"/>
  <c r="H92" i="1" l="1"/>
  <c r="I91" i="1"/>
  <c r="I92" i="1" a="1"/>
  <c r="H93" i="1" a="1"/>
  <c r="H93" i="1" l="1"/>
  <c r="I92" i="1"/>
  <c r="I93" i="1" a="1"/>
  <c r="H94" i="1" a="1"/>
  <c r="H94" i="1" l="1"/>
  <c r="I93" i="1"/>
  <c r="I94" i="1" a="1"/>
  <c r="H95" i="1" a="1"/>
  <c r="H95" i="1" l="1"/>
  <c r="I94" i="1"/>
  <c r="I95" i="1" a="1"/>
  <c r="H96" i="1" a="1"/>
  <c r="H96" i="1" l="1"/>
  <c r="I95" i="1"/>
  <c r="I96" i="1" a="1"/>
  <c r="H97" i="1" a="1"/>
  <c r="H97" i="1" l="1"/>
  <c r="I96" i="1"/>
  <c r="I97" i="1" a="1"/>
  <c r="H98" i="1" a="1"/>
  <c r="H98" i="1" l="1"/>
  <c r="I97" i="1"/>
  <c r="I98" i="1" a="1"/>
  <c r="H99" i="1" a="1"/>
  <c r="H99" i="1" l="1"/>
  <c r="I98" i="1"/>
  <c r="I99" i="1" a="1"/>
  <c r="H100" i="1" a="1"/>
  <c r="H100" i="1" l="1"/>
  <c r="I99" i="1"/>
  <c r="I100" i="1" a="1"/>
  <c r="H101" i="1" a="1"/>
  <c r="H101" i="1" l="1"/>
  <c r="I100" i="1"/>
  <c r="I101" i="1" a="1"/>
  <c r="H102" i="1" a="1"/>
  <c r="H102" i="1" l="1"/>
  <c r="I101" i="1"/>
  <c r="I102" i="1" a="1"/>
  <c r="H103" i="1" a="1"/>
  <c r="H103" i="1" l="1"/>
  <c r="I102" i="1"/>
  <c r="I103" i="1" a="1"/>
  <c r="H104" i="1" a="1"/>
  <c r="H104" i="1" l="1"/>
  <c r="I103" i="1"/>
  <c r="I104" i="1" a="1"/>
  <c r="H105" i="1" a="1"/>
  <c r="H105" i="1" l="1"/>
  <c r="I104" i="1"/>
  <c r="I105" i="1" a="1"/>
  <c r="H106" i="1" a="1"/>
  <c r="H106" i="1" l="1"/>
  <c r="I105" i="1"/>
  <c r="I106" i="1" a="1"/>
  <c r="H107" i="1" a="1"/>
  <c r="H107" i="1" l="1"/>
  <c r="I106" i="1"/>
  <c r="I107" i="1" a="1"/>
  <c r="H108" i="1" a="1"/>
  <c r="H108" i="1" l="1"/>
  <c r="I107" i="1"/>
  <c r="I108" i="1" a="1"/>
  <c r="H109" i="1" a="1"/>
  <c r="H109" i="1" l="1"/>
  <c r="I108" i="1"/>
  <c r="I109" i="1" a="1"/>
  <c r="H110" i="1" a="1"/>
  <c r="H110" i="1" l="1"/>
  <c r="I109" i="1"/>
  <c r="I110" i="1" a="1"/>
  <c r="H111" i="1" a="1"/>
  <c r="H111" i="1" l="1"/>
  <c r="I110" i="1"/>
  <c r="I111" i="1" a="1"/>
  <c r="H112" i="1" a="1"/>
  <c r="H112" i="1" l="1"/>
  <c r="I111" i="1"/>
  <c r="I112" i="1" a="1"/>
  <c r="H113" i="1" a="1"/>
  <c r="H113" i="1" l="1"/>
  <c r="I112" i="1"/>
  <c r="I113" i="1" a="1"/>
  <c r="H114" i="1" a="1"/>
  <c r="H114" i="1" l="1"/>
  <c r="I113" i="1"/>
  <c r="I114" i="1" a="1"/>
  <c r="H115" i="1" a="1"/>
  <c r="H115" i="1" l="1"/>
  <c r="I114" i="1"/>
  <c r="I115" i="1" a="1"/>
  <c r="H116" i="1" a="1"/>
  <c r="H116" i="1" l="1"/>
  <c r="I115" i="1"/>
  <c r="I116" i="1" a="1"/>
  <c r="H117" i="1" a="1"/>
  <c r="H117" i="1" l="1"/>
  <c r="I116" i="1"/>
  <c r="I117" i="1" a="1"/>
  <c r="H118" i="1" a="1"/>
  <c r="H118" i="1" l="1"/>
  <c r="I117" i="1"/>
  <c r="I118" i="1" a="1"/>
  <c r="H119" i="1" a="1"/>
  <c r="H119" i="1" l="1"/>
  <c r="I118" i="1"/>
  <c r="I119" i="1" a="1"/>
  <c r="H120" i="1" a="1"/>
  <c r="H120" i="1" l="1"/>
  <c r="I119" i="1"/>
  <c r="I120" i="1" a="1"/>
  <c r="H121" i="1" a="1"/>
  <c r="H121" i="1" l="1"/>
  <c r="I120" i="1"/>
  <c r="I121" i="1" a="1"/>
  <c r="H122" i="1" a="1"/>
  <c r="H122" i="1" l="1"/>
  <c r="I121" i="1"/>
  <c r="I122" i="1" a="1"/>
  <c r="H123" i="1" a="1"/>
  <c r="H123" i="1" l="1"/>
  <c r="I122" i="1"/>
  <c r="I123" i="1" a="1"/>
  <c r="H124" i="1" a="1"/>
  <c r="H124" i="1" l="1"/>
  <c r="I123" i="1"/>
  <c r="I124" i="1" a="1"/>
  <c r="H125" i="1" a="1"/>
  <c r="H125" i="1" l="1"/>
  <c r="I124" i="1"/>
  <c r="I125" i="1" a="1"/>
  <c r="H126" i="1" a="1"/>
  <c r="H126" i="1" l="1"/>
  <c r="I125" i="1"/>
  <c r="I126" i="1" a="1"/>
  <c r="H127" i="1" a="1"/>
  <c r="H127" i="1" l="1"/>
  <c r="I126" i="1"/>
  <c r="I127" i="1" a="1"/>
  <c r="H128" i="1" a="1"/>
  <c r="H128" i="1" l="1"/>
  <c r="I127" i="1"/>
  <c r="I128" i="1" a="1"/>
  <c r="H129" i="1" a="1"/>
  <c r="H129" i="1" l="1"/>
  <c r="I128" i="1"/>
  <c r="I129" i="1" a="1"/>
  <c r="H130" i="1" a="1"/>
  <c r="H130" i="1" l="1"/>
  <c r="I129" i="1"/>
  <c r="I130" i="1" a="1"/>
  <c r="H131" i="1" a="1"/>
  <c r="H131" i="1" l="1"/>
  <c r="I130" i="1"/>
  <c r="I131" i="1" a="1"/>
  <c r="H132" i="1" a="1"/>
  <c r="H132" i="1" l="1"/>
  <c r="I131" i="1"/>
  <c r="I132" i="1" a="1"/>
  <c r="H133" i="1" a="1"/>
  <c r="H133" i="1" l="1"/>
  <c r="I132" i="1"/>
  <c r="I133" i="1" a="1"/>
  <c r="H134" i="1" a="1"/>
  <c r="H134" i="1" l="1"/>
  <c r="I133" i="1"/>
  <c r="I134" i="1" a="1"/>
  <c r="H135" i="1" a="1"/>
  <c r="H135" i="1" l="1"/>
  <c r="I134" i="1"/>
  <c r="I135" i="1" a="1"/>
  <c r="H136" i="1" a="1"/>
  <c r="H136" i="1" l="1"/>
  <c r="I135" i="1"/>
  <c r="I136" i="1" a="1"/>
  <c r="H137" i="1" a="1"/>
  <c r="H137" i="1" l="1"/>
  <c r="I136" i="1"/>
  <c r="I137" i="1" a="1"/>
  <c r="H138" i="1" a="1"/>
  <c r="H138" i="1" l="1"/>
  <c r="I137" i="1"/>
  <c r="I138" i="1" a="1"/>
  <c r="H139" i="1" a="1"/>
  <c r="H139" i="1" l="1"/>
  <c r="I138" i="1"/>
  <c r="I139" i="1" a="1"/>
  <c r="H140" i="1" a="1"/>
  <c r="H140" i="1" l="1"/>
  <c r="I139" i="1"/>
  <c r="I140" i="1" a="1"/>
  <c r="H141" i="1" a="1"/>
  <c r="H141" i="1" l="1"/>
  <c r="I140" i="1"/>
  <c r="I141" i="1" a="1"/>
  <c r="H142" i="1" a="1"/>
  <c r="H142" i="1" l="1"/>
  <c r="I141" i="1"/>
  <c r="I142" i="1" a="1"/>
  <c r="H143" i="1" a="1"/>
  <c r="H143" i="1" l="1"/>
  <c r="I142" i="1"/>
  <c r="I143" i="1" a="1"/>
  <c r="H144" i="1" a="1"/>
  <c r="H144" i="1" l="1"/>
  <c r="I143" i="1"/>
  <c r="I144" i="1" a="1"/>
  <c r="H145" i="1" a="1"/>
  <c r="H145" i="1" l="1"/>
  <c r="I144" i="1"/>
  <c r="I145" i="1" a="1"/>
  <c r="H146" i="1" a="1"/>
  <c r="H146" i="1" l="1"/>
  <c r="I145" i="1"/>
  <c r="I146" i="1" a="1"/>
  <c r="H147" i="1" a="1"/>
  <c r="H147" i="1" l="1"/>
  <c r="I146" i="1"/>
  <c r="I147" i="1" a="1"/>
  <c r="H148" i="1" a="1"/>
  <c r="H148" i="1" l="1"/>
  <c r="I147" i="1"/>
  <c r="I148" i="1" a="1"/>
  <c r="H149" i="1" a="1"/>
  <c r="H149" i="1" l="1"/>
  <c r="I148" i="1"/>
  <c r="I149" i="1" a="1"/>
  <c r="H150" i="1" a="1"/>
  <c r="H150" i="1" l="1"/>
  <c r="I149" i="1"/>
  <c r="I150" i="1" a="1"/>
  <c r="H151" i="1" a="1"/>
  <c r="H151" i="1" l="1"/>
  <c r="I150" i="1"/>
  <c r="I151" i="1" a="1"/>
  <c r="I15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burgoyne</author>
  </authors>
  <commentList>
    <comment ref="C1" authorId="0" shapeId="0" xr:uid="{B9BAA849-C58F-49DE-9E6E-520CF8A09429}">
      <text>
        <r>
          <rPr>
            <b/>
            <sz val="9"/>
            <color indexed="81"/>
            <rFont val="Tahoma"/>
            <family val="2"/>
          </rPr>
          <t>mark burgoyne:</t>
        </r>
        <r>
          <rPr>
            <sz val="9"/>
            <color indexed="81"/>
            <rFont val="Tahoma"/>
            <family val="2"/>
          </rPr>
          <t xml:space="preserve">
Ignored if sum inert mole fractions = 1.0</t>
        </r>
      </text>
    </comment>
    <comment ref="M23" authorId="0" shapeId="0" xr:uid="{16576C97-F214-4E09-96EA-5E0B03D27877}">
      <text>
        <r>
          <rPr>
            <b/>
            <sz val="9"/>
            <color indexed="81"/>
            <rFont val="Tahoma"/>
            <family val="2"/>
          </rPr>
          <t>mark burgoyne:</t>
        </r>
        <r>
          <rPr>
            <sz val="9"/>
            <color indexed="81"/>
            <rFont val="Tahoma"/>
            <family val="2"/>
          </rPr>
          <t xml:space="preserve">
Ignored if sum inert mole fractions = 1.0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<sst xmlns="http://schemas.openxmlformats.org/spreadsheetml/2006/main" count="18" uniqueCount="9">
  <si>
    <t>degF</t>
  </si>
  <si>
    <t>psia</t>
  </si>
  <si>
    <t>CO2</t>
  </si>
  <si>
    <t>H2S</t>
  </si>
  <si>
    <t>N2</t>
  </si>
  <si>
    <t>Z</t>
  </si>
  <si>
    <t>Visc (cP)</t>
  </si>
  <si>
    <t>Gas Mixture SG</t>
  </si>
  <si>
    <t>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</si>
</sst>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11" fontId="0" fillId="0" borderId="0" xfId="0" applyNumberFormat="1"/>
    <xf numFmtId="0" fontId="1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Z and Viscosity vs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87270341207349"/>
          <c:y val="0.14474146341463415"/>
          <c:w val="0.72358792650918635"/>
          <c:h val="0.72180126752448626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Sheet1!$B$2:$B$151</c:f>
              <c:numCache>
                <c:formatCode>General</c:formatCode>
                <c:ptCount val="15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</c:numCache>
            </c:numRef>
          </c:xVal>
          <c:yVal>
            <c:numRef>
              <c:f>Sheet1!$H$2:$H$151</c:f>
              <c:numCache>
                <c:formatCode>General</c:formatCode>
                <c:ptCount val="150"/>
                <c:pt idx="0">
                  <c:v>0.96777795029265723</c:v>
                </c:pt>
                <c:pt idx="1">
                  <c:v>0.93426034711518535</c:v>
                </c:pt>
                <c:pt idx="2">
                  <c:v>0.89921165291692229</c:v>
                </c:pt>
                <c:pt idx="3">
                  <c:v>0.86231654046482575</c:v>
                </c:pt>
                <c:pt idx="4">
                  <c:v>0.82313612596988162</c:v>
                </c:pt>
                <c:pt idx="5">
                  <c:v>0.78102748818111123</c:v>
                </c:pt>
                <c:pt idx="6">
                  <c:v>0.73497994781132858</c:v>
                </c:pt>
                <c:pt idx="7">
                  <c:v>0.68323013087168838</c:v>
                </c:pt>
                <c:pt idx="8">
                  <c:v>0.62212278081822581</c:v>
                </c:pt>
                <c:pt idx="9">
                  <c:v>0.54079135476161688</c:v>
                </c:pt>
                <c:pt idx="10">
                  <c:v>0.19265752648736587</c:v>
                </c:pt>
                <c:pt idx="11">
                  <c:v>0.2020365037859308</c:v>
                </c:pt>
                <c:pt idx="12">
                  <c:v>0.21260857839943159</c:v>
                </c:pt>
                <c:pt idx="13">
                  <c:v>0.2237059453875796</c:v>
                </c:pt>
                <c:pt idx="14">
                  <c:v>0.23506528827434167</c:v>
                </c:pt>
                <c:pt idx="15">
                  <c:v>0.24655959573460393</c:v>
                </c:pt>
                <c:pt idx="16">
                  <c:v>0.25812013099661008</c:v>
                </c:pt>
                <c:pt idx="17">
                  <c:v>0.26970687166924562</c:v>
                </c:pt>
                <c:pt idx="18">
                  <c:v>0.28129535829251584</c:v>
                </c:pt>
                <c:pt idx="19">
                  <c:v>0.29287016276029965</c:v>
                </c:pt>
                <c:pt idx="20">
                  <c:v>0.30442137256304563</c:v>
                </c:pt>
                <c:pt idx="21">
                  <c:v>0.31594257824063193</c:v>
                </c:pt>
                <c:pt idx="22">
                  <c:v>0.3274296640377532</c:v>
                </c:pt>
                <c:pt idx="23">
                  <c:v>0.33888005219384815</c:v>
                </c:pt>
                <c:pt idx="24">
                  <c:v>0.35029221529841892</c:v>
                </c:pt>
                <c:pt idx="25">
                  <c:v>0.36166535312611786</c:v>
                </c:pt>
                <c:pt idx="26">
                  <c:v>0.37299917364602747</c:v>
                </c:pt>
                <c:pt idx="27">
                  <c:v>0.38429374181959586</c:v>
                </c:pt>
                <c:pt idx="28">
                  <c:v>0.39554937354935893</c:v>
                </c:pt>
                <c:pt idx="29">
                  <c:v>0.40676656031343933</c:v>
                </c:pt>
                <c:pt idx="30">
                  <c:v>0.41794591502484113</c:v>
                </c:pt>
                <c:pt idx="31">
                  <c:v>0.42908813279892111</c:v>
                </c:pt>
                <c:pt idx="32">
                  <c:v>0.44019396233415797</c:v>
                </c:pt>
                <c:pt idx="33">
                  <c:v>0.4512641849381831</c:v>
                </c:pt>
                <c:pt idx="34">
                  <c:v>0.46229959911799007</c:v>
                </c:pt>
                <c:pt idx="35">
                  <c:v>0.47330100925601976</c:v>
                </c:pt>
                <c:pt idx="36">
                  <c:v>0.48426921730966649</c:v>
                </c:pt>
                <c:pt idx="37">
                  <c:v>0.49520501676254619</c:v>
                </c:pt>
                <c:pt idx="38">
                  <c:v>0.50610918826176088</c:v>
                </c:pt>
                <c:pt idx="39">
                  <c:v>0.51698249652281136</c:v>
                </c:pt>
                <c:pt idx="40">
                  <c:v>0.52782568819046038</c:v>
                </c:pt>
                <c:pt idx="41">
                  <c:v>0.53863949042174353</c:v>
                </c:pt>
                <c:pt idx="42">
                  <c:v>0.54942461001468135</c:v>
                </c:pt>
                <c:pt idx="43">
                  <c:v>0.56018173294886131</c:v>
                </c:pt>
                <c:pt idx="44">
                  <c:v>0.57091152423590175</c:v>
                </c:pt>
                <c:pt idx="45">
                  <c:v>0.58161462800179697</c:v>
                </c:pt>
                <c:pt idx="46">
                  <c:v>0.59229166774129849</c:v>
                </c:pt>
                <c:pt idx="47">
                  <c:v>0.60294324669832822</c:v>
                </c:pt>
                <c:pt idx="48">
                  <c:v>0.61356994833698764</c:v>
                </c:pt>
                <c:pt idx="49">
                  <c:v>0.62417233687587514</c:v>
                </c:pt>
                <c:pt idx="50">
                  <c:v>0.63475095786469193</c:v>
                </c:pt>
                <c:pt idx="51">
                  <c:v>0.64530633878698151</c:v>
                </c:pt>
                <c:pt idx="52">
                  <c:v>0.65583898967662102</c:v>
                </c:pt>
                <c:pt idx="53">
                  <c:v>0.66634940373861729</c:v>
                </c:pt>
                <c:pt idx="54">
                  <c:v>0.67683805796705732</c:v>
                </c:pt>
                <c:pt idx="55">
                  <c:v>0.68730541375484555</c:v>
                </c:pt>
                <c:pt idx="56">
                  <c:v>0.69775191749126331</c:v>
                </c:pt>
                <c:pt idx="57">
                  <c:v>0.7081780011444746</c:v>
                </c:pt>
                <c:pt idx="58">
                  <c:v>0.71858408282695507</c:v>
                </c:pt>
                <c:pt idx="59">
                  <c:v>0.72897056734249033</c:v>
                </c:pt>
                <c:pt idx="60">
                  <c:v>0.73933784671389535</c:v>
                </c:pt>
                <c:pt idx="61">
                  <c:v>0.7496863006910226</c:v>
                </c:pt>
                <c:pt idx="62">
                  <c:v>0.76001629723891673</c:v>
                </c:pt>
                <c:pt idx="63">
                  <c:v>0.77032819300622379</c:v>
                </c:pt>
                <c:pt idx="64">
                  <c:v>0.78062233377412849</c:v>
                </c:pt>
                <c:pt idx="65">
                  <c:v>0.7908990548862318</c:v>
                </c:pt>
                <c:pt idx="66">
                  <c:v>0.80115868165987858</c:v>
                </c:pt>
                <c:pt idx="67">
                  <c:v>0.81140152977950308</c:v>
                </c:pt>
                <c:pt idx="68">
                  <c:v>0.82162790567262101</c:v>
                </c:pt>
                <c:pt idx="69">
                  <c:v>0.83183810686911053</c:v>
                </c:pt>
                <c:pt idx="70">
                  <c:v>0.84203242234444708</c:v>
                </c:pt>
                <c:pt idx="71">
                  <c:v>0.85221113284756567</c:v>
                </c:pt>
                <c:pt idx="72">
                  <c:v>0.86237451121400432</c:v>
                </c:pt>
                <c:pt idx="73">
                  <c:v>0.87252282266499614</c:v>
                </c:pt>
                <c:pt idx="74">
                  <c:v>0.88265632509313785</c:v>
                </c:pt>
                <c:pt idx="75">
                  <c:v>0.89277526933526752</c:v>
                </c:pt>
                <c:pt idx="76">
                  <c:v>0.90287989943314551</c:v>
                </c:pt>
                <c:pt idx="77">
                  <c:v>0.91297045288252709</c:v>
                </c:pt>
                <c:pt idx="78">
                  <c:v>0.92304716087117844</c:v>
                </c:pt>
                <c:pt idx="79">
                  <c:v>0.93311024850637636</c:v>
                </c:pt>
                <c:pt idx="80">
                  <c:v>0.9431599350323967</c:v>
                </c:pt>
                <c:pt idx="81">
                  <c:v>0.95319643403848919</c:v>
                </c:pt>
                <c:pt idx="82">
                  <c:v>0.96321995365779545</c:v>
                </c:pt>
                <c:pt idx="83">
                  <c:v>0.97323069675765783</c:v>
                </c:pt>
                <c:pt idx="84">
                  <c:v>0.98322886112174057</c:v>
                </c:pt>
                <c:pt idx="85">
                  <c:v>0.99321463962436451</c:v>
                </c:pt>
                <c:pt idx="86">
                  <c:v>1.0031882203974325</c:v>
                </c:pt>
                <c:pt idx="87">
                  <c:v>1.0131497869903103</c:v>
                </c:pt>
                <c:pt idx="88">
                  <c:v>1.0230995185230041</c:v>
                </c:pt>
                <c:pt idx="89">
                  <c:v>1.03303758983296</c:v>
                </c:pt>
                <c:pt idx="90">
                  <c:v>1.0429641716157929</c:v>
                </c:pt>
                <c:pt idx="91">
                  <c:v>1.0528794305602358</c:v>
                </c:pt>
                <c:pt idx="92">
                  <c:v>1.0627835294775887</c:v>
                </c:pt>
                <c:pt idx="93">
                  <c:v>1.0726766274259307</c:v>
                </c:pt>
                <c:pt idx="94">
                  <c:v>1.0825588798293342</c:v>
                </c:pt>
                <c:pt idx="95">
                  <c:v>1.0924304385923314</c:v>
                </c:pt>
                <c:pt idx="96">
                  <c:v>1.1022914522098441</c:v>
                </c:pt>
                <c:pt idx="97">
                  <c:v>1.1121420658727943</c:v>
                </c:pt>
                <c:pt idx="98">
                  <c:v>1.1219824215695953</c:v>
                </c:pt>
                <c:pt idx="99">
                  <c:v>1.1318126581837116</c:v>
                </c:pt>
                <c:pt idx="100">
                  <c:v>1.1416329115874708</c:v>
                </c:pt>
                <c:pt idx="101">
                  <c:v>1.151443314732296</c:v>
                </c:pt>
                <c:pt idx="102">
                  <c:v>1.1612439977355198</c:v>
                </c:pt>
                <c:pt idx="103">
                  <c:v>1.1710350879639413</c:v>
                </c:pt>
                <c:pt idx="104">
                  <c:v>1.1808167101142595</c:v>
                </c:pt>
                <c:pt idx="105">
                  <c:v>1.1905889862905337</c:v>
                </c:pt>
                <c:pt idx="106">
                  <c:v>1.2003520360787954</c:v>
                </c:pt>
                <c:pt idx="107">
                  <c:v>1.210105976618937</c:v>
                </c:pt>
                <c:pt idx="108">
                  <c:v>1.2198509226740031</c:v>
                </c:pt>
                <c:pt idx="109">
                  <c:v>1.2295869866969864</c:v>
                </c:pt>
                <c:pt idx="110">
                  <c:v>1.2393142788952392</c:v>
                </c:pt>
                <c:pt idx="111">
                  <c:v>1.2490329072926134</c:v>
                </c:pt>
                <c:pt idx="112">
                  <c:v>1.2587429777894044</c:v>
                </c:pt>
                <c:pt idx="113">
                  <c:v>1.2684445942202112</c:v>
                </c:pt>
                <c:pt idx="114">
                  <c:v>1.2781378584097876</c:v>
                </c:pt>
                <c:pt idx="115">
                  <c:v>1.2878228702269761</c:v>
                </c:pt>
                <c:pt idx="116">
                  <c:v>1.2974997276367972</c:v>
                </c:pt>
                <c:pt idx="117">
                  <c:v>1.3071685267507733</c:v>
                </c:pt>
                <c:pt idx="118">
                  <c:v>1.3168293618755618</c:v>
                </c:pt>
                <c:pt idx="119">
                  <c:v>1.3264823255599583</c:v>
                </c:pt>
                <c:pt idx="120">
                  <c:v>1.336127508640345</c:v>
                </c:pt>
                <c:pt idx="121">
                  <c:v>1.3457650002846375</c:v>
                </c:pt>
                <c:pt idx="122">
                  <c:v>1.3553948880347959</c:v>
                </c:pt>
                <c:pt idx="123">
                  <c:v>1.3650172578479545</c:v>
                </c:pt>
                <c:pt idx="124">
                  <c:v>1.3746321941362258</c:v>
                </c:pt>
                <c:pt idx="125">
                  <c:v>1.3842397798052286</c:v>
                </c:pt>
                <c:pt idx="126">
                  <c:v>1.3938400962913859</c:v>
                </c:pt>
                <c:pt idx="127">
                  <c:v>1.4034332235980538</c:v>
                </c:pt>
                <c:pt idx="128">
                  <c:v>1.4130192403305029</c:v>
                </c:pt>
                <c:pt idx="129">
                  <c:v>1.4225982237298269</c:v>
                </c:pt>
                <c:pt idx="130">
                  <c:v>1.4321702497057831</c:v>
                </c:pt>
                <c:pt idx="131">
                  <c:v>1.4417353928686347</c:v>
                </c:pt>
                <c:pt idx="132">
                  <c:v>1.451293726560019</c:v>
                </c:pt>
                <c:pt idx="133">
                  <c:v>1.4608453228828724</c:v>
                </c:pt>
                <c:pt idx="134">
                  <c:v>1.4703902527304611</c:v>
                </c:pt>
                <c:pt idx="135">
                  <c:v>1.4799285858145372</c:v>
                </c:pt>
                <c:pt idx="136">
                  <c:v>1.4894603906926596</c:v>
                </c:pt>
                <c:pt idx="137">
                  <c:v>1.4989857347947082</c:v>
                </c:pt>
                <c:pt idx="138">
                  <c:v>1.508504684448615</c:v>
                </c:pt>
                <c:pt idx="139">
                  <c:v>1.5180173049053489</c:v>
                </c:pt>
                <c:pt idx="140">
                  <c:v>1.5275236603631732</c:v>
                </c:pt>
                <c:pt idx="141">
                  <c:v>1.5370238139912096</c:v>
                </c:pt>
                <c:pt idx="142">
                  <c:v>1.546517827952318</c:v>
                </c:pt>
                <c:pt idx="143">
                  <c:v>1.5560057634253324</c:v>
                </c:pt>
                <c:pt idx="144">
                  <c:v>1.5654876806266738</c:v>
                </c:pt>
                <c:pt idx="145">
                  <c:v>1.5749636388313368</c:v>
                </c:pt>
                <c:pt idx="146">
                  <c:v>1.5844336963933152</c:v>
                </c:pt>
                <c:pt idx="147">
                  <c:v>1.593897910765437</c:v>
                </c:pt>
                <c:pt idx="148">
                  <c:v>1.6033563385186724</c:v>
                </c:pt>
                <c:pt idx="149">
                  <c:v>1.6128090353608984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CA-4747-8BCD-8A38E695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202031"/>
        <c:axId val="1390202511"/>
      </c:scatterChart>
      <c:scatterChart>
        <c:scatterStyle val="lineMarker"/>
        <c:varyColors val="0"/>
        <c:ser>
          <c:idx val="1"/>
          <c:order val="1"/>
          <c:tx>
            <c:strRef>
              <c:f>Sheet1!$I$1</c:f>
              <c:strCache>
                <c:ptCount val="1"/>
                <c:pt idx="0">
                  <c:v>Visc (cP)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Sheet1!$B$2:$B$151</c:f>
              <c:numCache>
                <c:formatCode>General</c:formatCode>
                <c:ptCount val="15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</c:numCache>
            </c:numRef>
          </c:xVal>
          <c:yVal>
            <c:numRef>
              <c:f>Sheet1!$I$2:$I$151</c:f>
              <c:numCache>
                <c:formatCode>General</c:formatCode>
                <c:ptCount val="150"/>
                <c:pt idx="0">
                  <c:v>1.5715493022891228E-2</c:v>
                </c:pt>
                <c:pt idx="1">
                  <c:v>1.5865925273357902E-2</c:v>
                </c:pt>
                <c:pt idx="2">
                  <c:v>1.6050247569972885E-2</c:v>
                </c:pt>
                <c:pt idx="3">
                  <c:v>1.6277355895000425E-2</c:v>
                </c:pt>
                <c:pt idx="4">
                  <c:v>1.6560160167173293E-2</c:v>
                </c:pt>
                <c:pt idx="5">
                  <c:v>1.6918403072468065E-2</c:v>
                </c:pt>
                <c:pt idx="6">
                  <c:v>1.7384540274899964E-2</c:v>
                </c:pt>
                <c:pt idx="7">
                  <c:v>1.8017942888222959E-2</c:v>
                </c:pt>
                <c:pt idx="8">
                  <c:v>1.8948202103294527E-2</c:v>
                </c:pt>
                <c:pt idx="9">
                  <c:v>2.0584836647707681E-2</c:v>
                </c:pt>
                <c:pt idx="10">
                  <c:v>5.6173979991730044E-2</c:v>
                </c:pt>
                <c:pt idx="11">
                  <c:v>5.9674387767323533E-2</c:v>
                </c:pt>
                <c:pt idx="12">
                  <c:v>6.2499678443244805E-2</c:v>
                </c:pt>
                <c:pt idx="13">
                  <c:v>6.4935601190529671E-2</c:v>
                </c:pt>
                <c:pt idx="14">
                  <c:v>6.7111940141302853E-2</c:v>
                </c:pt>
                <c:pt idx="15">
                  <c:v>6.9100341782461744E-2</c:v>
                </c:pt>
                <c:pt idx="16">
                  <c:v>7.0945157999924666E-2</c:v>
                </c:pt>
                <c:pt idx="17">
                  <c:v>7.2676020710882347E-2</c:v>
                </c:pt>
                <c:pt idx="18">
                  <c:v>7.4313841359014615E-2</c:v>
                </c:pt>
                <c:pt idx="19">
                  <c:v>7.5873999806446463E-2</c:v>
                </c:pt>
                <c:pt idx="20">
                  <c:v>7.736817939823061E-2</c:v>
                </c:pt>
                <c:pt idx="21">
                  <c:v>7.8805489496530698E-2</c:v>
                </c:pt>
                <c:pt idx="22">
                  <c:v>8.0193186343974168E-2</c:v>
                </c:pt>
                <c:pt idx="23">
                  <c:v>8.1537154701084982E-2</c:v>
                </c:pt>
                <c:pt idx="24">
                  <c:v>8.2842240437575154E-2</c:v>
                </c:pt>
                <c:pt idx="25">
                  <c:v>8.4112486697075703E-2</c:v>
                </c:pt>
                <c:pt idx="26">
                  <c:v>8.5351305649720668E-2</c:v>
                </c:pt>
                <c:pt idx="27">
                  <c:v>8.6561606017180839E-2</c:v>
                </c:pt>
                <c:pt idx="28">
                  <c:v>8.7745889493707804E-2</c:v>
                </c:pt>
                <c:pt idx="29">
                  <c:v>8.8906324827844815E-2</c:v>
                </c:pt>
                <c:pt idx="30">
                  <c:v>9.0044805558247912E-2</c:v>
                </c:pt>
                <c:pt idx="31">
                  <c:v>9.1162995588866078E-2</c:v>
                </c:pt>
                <c:pt idx="32">
                  <c:v>9.2262365581324168E-2</c:v>
                </c:pt>
                <c:pt idx="33">
                  <c:v>9.3344222319265535E-2</c:v>
                </c:pt>
                <c:pt idx="34">
                  <c:v>9.4409732627760284E-2</c:v>
                </c:pt>
                <c:pt idx="35">
                  <c:v>9.5459943027103727E-2</c:v>
                </c:pt>
                <c:pt idx="36">
                  <c:v>9.649579601070854E-2</c:v>
                </c:pt>
                <c:pt idx="37">
                  <c:v>9.7518143626112899E-2</c:v>
                </c:pt>
                <c:pt idx="38">
                  <c:v>9.8527758882893321E-2</c:v>
                </c:pt>
                <c:pt idx="39">
                  <c:v>9.9525345395511236E-2</c:v>
                </c:pt>
                <c:pt idx="40">
                  <c:v>0.10051154558186375</c:v>
                </c:pt>
                <c:pt idx="41">
                  <c:v>0.10148694767184292</c:v>
                </c:pt>
                <c:pt idx="42">
                  <c:v>0.10245209172912043</c:v>
                </c:pt>
                <c:pt idx="43">
                  <c:v>0.10340747484973639</c:v>
                </c:pt>
                <c:pt idx="44">
                  <c:v>0.10435355567008482</c:v>
                </c:pt>
                <c:pt idx="45">
                  <c:v>0.10529075829245882</c:v>
                </c:pt>
                <c:pt idx="46">
                  <c:v>0.10621947571693348</c:v>
                </c:pt>
                <c:pt idx="47">
                  <c:v>0.10714007285286474</c:v>
                </c:pt>
                <c:pt idx="48">
                  <c:v>0.10805288917082116</c:v>
                </c:pt>
                <c:pt idx="49">
                  <c:v>0.10895824104567681</c:v>
                </c:pt>
                <c:pt idx="50">
                  <c:v>0.10985642383338348</c:v>
                </c:pt>
                <c:pt idx="51">
                  <c:v>0.1107477137172217</c:v>
                </c:pt>
                <c:pt idx="52">
                  <c:v>0.11163236935380749</c:v>
                </c:pt>
                <c:pt idx="53">
                  <c:v>0.11251063334455982</c:v>
                </c:pt>
                <c:pt idx="54">
                  <c:v>0.11338273355454336</c:v>
                </c:pt>
                <c:pt idx="55">
                  <c:v>0.11424888429743854</c:v>
                </c:pt>
                <c:pt idx="56">
                  <c:v>0.11510928740273844</c:v>
                </c:pt>
                <c:pt idx="57">
                  <c:v>0.11596413317904739</c:v>
                </c:pt>
                <c:pt idx="58">
                  <c:v>0.1168136012854738</c:v>
                </c:pt>
                <c:pt idx="59">
                  <c:v>0.11765786152151329</c:v>
                </c:pt>
                <c:pt idx="60">
                  <c:v>0.11849707454446912</c:v>
                </c:pt>
                <c:pt idx="61">
                  <c:v>0.11933139252229456</c:v>
                </c:pt>
                <c:pt idx="62">
                  <c:v>0.12016095972875884</c:v>
                </c:pt>
                <c:pt idx="63">
                  <c:v>0.12098591308698041</c:v>
                </c:pt>
                <c:pt idx="64">
                  <c:v>0.12180638266665098</c:v>
                </c:pt>
                <c:pt idx="65">
                  <c:v>0.12262249213963272</c:v>
                </c:pt>
                <c:pt idx="66">
                  <c:v>0.1234343591980667</c:v>
                </c:pt>
                <c:pt idx="67">
                  <c:v>0.12424209593865979</c:v>
                </c:pt>
                <c:pt idx="68">
                  <c:v>0.12504580921639871</c:v>
                </c:pt>
                <c:pt idx="69">
                  <c:v>0.12584560097058112</c:v>
                </c:pt>
                <c:pt idx="70">
                  <c:v>0.12664156852574138</c:v>
                </c:pt>
                <c:pt idx="71">
                  <c:v>0.12743380486976347</c:v>
                </c:pt>
                <c:pt idx="72">
                  <c:v>0.12822239891124526</c:v>
                </c:pt>
                <c:pt idx="73">
                  <c:v>0.12900743571794349</c:v>
                </c:pt>
                <c:pt idx="74">
                  <c:v>0.12978899673796448</c:v>
                </c:pt>
                <c:pt idx="75">
                  <c:v>0.13056716000517732</c:v>
                </c:pt>
                <c:pt idx="76">
                  <c:v>0.13134200033019117</c:v>
                </c:pt>
                <c:pt idx="77">
                  <c:v>0.13211358947810334</c:v>
                </c:pt>
                <c:pt idx="78">
                  <c:v>0.13288199633410785</c:v>
                </c:pt>
                <c:pt idx="79">
                  <c:v>0.13364728705794934</c:v>
                </c:pt>
                <c:pt idx="80">
                  <c:v>0.1344095252281208</c:v>
                </c:pt>
                <c:pt idx="81">
                  <c:v>0.13516877197660726</c:v>
                </c:pt>
                <c:pt idx="82">
                  <c:v>0.13592508611492293</c:v>
                </c:pt>
                <c:pt idx="83">
                  <c:v>0.13667852425210253</c:v>
                </c:pt>
                <c:pt idx="84">
                  <c:v>0.13742914090526356</c:v>
                </c:pt>
                <c:pt idx="85">
                  <c:v>0.13817698860329305</c:v>
                </c:pt>
                <c:pt idx="86">
                  <c:v>0.13892211798417026</c:v>
                </c:pt>
                <c:pt idx="87">
                  <c:v>0.13966457788638775</c:v>
                </c:pt>
                <c:pt idx="88">
                  <c:v>0.1404044154348979</c:v>
                </c:pt>
                <c:pt idx="89">
                  <c:v>0.14114167612197545</c:v>
                </c:pt>
                <c:pt idx="90">
                  <c:v>0.1418764038833534</c:v>
                </c:pt>
                <c:pt idx="91">
                  <c:v>0.14260864116996189</c:v>
                </c:pt>
                <c:pt idx="92">
                  <c:v>0.14333842901557101</c:v>
                </c:pt>
                <c:pt idx="93">
                  <c:v>0.14406580710061598</c:v>
                </c:pt>
                <c:pt idx="94">
                  <c:v>0.14479081381246578</c:v>
                </c:pt>
                <c:pt idx="95">
                  <c:v>0.14551348630236141</c:v>
                </c:pt>
                <c:pt idx="96">
                  <c:v>0.14623386053925452</c:v>
                </c:pt>
                <c:pt idx="97">
                  <c:v>0.14695197136073729</c:v>
                </c:pt>
                <c:pt idx="98">
                  <c:v>0.14766785252125803</c:v>
                </c:pt>
                <c:pt idx="99">
                  <c:v>0.1483815367377892</c:v>
                </c:pt>
                <c:pt idx="100">
                  <c:v>0.14909305573311138</c:v>
                </c:pt>
                <c:pt idx="101">
                  <c:v>0.14980244027686138</c:v>
                </c:pt>
                <c:pt idx="102">
                  <c:v>0.15050972022448092</c:v>
                </c:pt>
                <c:pt idx="103">
                  <c:v>0.15121492455418983</c:v>
                </c:pt>
                <c:pt idx="104">
                  <c:v>0.15191808140211466</c:v>
                </c:pt>
                <c:pt idx="105">
                  <c:v>0.15261921809566781</c:v>
                </c:pt>
                <c:pt idx="106">
                  <c:v>0.15331836118529152</c:v>
                </c:pt>
                <c:pt idx="107">
                  <c:v>0.15401553647465716</c:v>
                </c:pt>
                <c:pt idx="108">
                  <c:v>0.1547107690494097</c:v>
                </c:pt>
                <c:pt idx="109">
                  <c:v>0.15540408330454328</c:v>
                </c:pt>
                <c:pt idx="110">
                  <c:v>0.15609550297048314</c:v>
                </c:pt>
                <c:pt idx="111">
                  <c:v>0.15678505113794569</c:v>
                </c:pt>
                <c:pt idx="112">
                  <c:v>0.15747275028164884</c:v>
                </c:pt>
                <c:pt idx="113">
                  <c:v>0.15815862228293232</c:v>
                </c:pt>
                <c:pt idx="114">
                  <c:v>0.15884268845134922</c:v>
                </c:pt>
                <c:pt idx="115">
                  <c:v>0.15952496954528242</c:v>
                </c:pt>
                <c:pt idx="116">
                  <c:v>0.16020548579164276</c:v>
                </c:pt>
                <c:pt idx="117">
                  <c:v>0.16088425690469393</c:v>
                </c:pt>
                <c:pt idx="118">
                  <c:v>0.16156130210404746</c:v>
                </c:pt>
                <c:pt idx="119">
                  <c:v>0.16223664013188097</c:v>
                </c:pt>
                <c:pt idx="120">
                  <c:v>0.16291028926940951</c:v>
                </c:pt>
                <c:pt idx="121">
                  <c:v>0.16358226735265299</c:v>
                </c:pt>
                <c:pt idx="122">
                  <c:v>0.16425259178753596</c:v>
                </c:pt>
                <c:pt idx="123">
                  <c:v>0.16492127956435351</c:v>
                </c:pt>
                <c:pt idx="124">
                  <c:v>0.16558834727163069</c:v>
                </c:pt>
                <c:pt idx="125">
                  <c:v>0.16625381110941118</c:v>
                </c:pt>
                <c:pt idx="126">
                  <c:v>0.16691768690200265</c:v>
                </c:pt>
                <c:pt idx="127">
                  <c:v>0.16757999011019847</c:v>
                </c:pt>
                <c:pt idx="128">
                  <c:v>0.16824073584301427</c:v>
                </c:pt>
                <c:pt idx="129">
                  <c:v>0.16889993886894347</c:v>
                </c:pt>
                <c:pt idx="130">
                  <c:v>0.16955761362677793</c:v>
                </c:pt>
                <c:pt idx="131">
                  <c:v>0.17021377423599415</c:v>
                </c:pt>
                <c:pt idx="132">
                  <c:v>0.17086843450673528</c:v>
                </c:pt>
                <c:pt idx="133">
                  <c:v>0.17152160794940766</c:v>
                </c:pt>
                <c:pt idx="134">
                  <c:v>0.1721733077839068</c:v>
                </c:pt>
                <c:pt idx="135">
                  <c:v>0.17282354694849048</c:v>
                </c:pt>
                <c:pt idx="136">
                  <c:v>0.17347233810831561</c:v>
                </c:pt>
                <c:pt idx="137">
                  <c:v>0.1741196936636534</c:v>
                </c:pt>
                <c:pt idx="138">
                  <c:v>0.17476562575780036</c:v>
                </c:pt>
                <c:pt idx="139">
                  <c:v>0.17541014628469065</c:v>
                </c:pt>
                <c:pt idx="140">
                  <c:v>0.17605326689623546</c:v>
                </c:pt>
                <c:pt idx="141">
                  <c:v>0.17669499900938518</c:v>
                </c:pt>
                <c:pt idx="142">
                  <c:v>0.17733535381294474</c:v>
                </c:pt>
                <c:pt idx="143">
                  <c:v>0.1779743422741373</c:v>
                </c:pt>
                <c:pt idx="144">
                  <c:v>0.17861197514493191</c:v>
                </c:pt>
                <c:pt idx="145">
                  <c:v>0.17924826296815569</c:v>
                </c:pt>
                <c:pt idx="146">
                  <c:v>0.17988321608337668</c:v>
                </c:pt>
                <c:pt idx="147">
                  <c:v>0.18051684463259504</c:v>
                </c:pt>
                <c:pt idx="148">
                  <c:v>0.18114915856572372</c:v>
                </c:pt>
                <c:pt idx="149">
                  <c:v>0.18178016764588811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CA-4747-8BCD-8A38E695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094128"/>
        <c:axId val="2069095088"/>
      </c:scatterChart>
      <c:valAx>
        <c:axId val="1390202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(psia)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202511"/>
        <c:crosses val="autoZero"/>
        <c:crossBetween val="midCat"/>
      </c:valAx>
      <c:valAx>
        <c:axId val="1390202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202031"/>
        <c:crosses val="autoZero"/>
        <c:crossBetween val="midCat"/>
      </c:valAx>
      <c:valAx>
        <c:axId val="20690950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Viscosity (cP)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094128"/>
        <c:crosses val="max"/>
        <c:crossBetween val="midCat"/>
      </c:valAx>
      <c:valAx>
        <c:axId val="2069094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909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96218285214348"/>
          <c:y val="0.1614629537161513"/>
          <c:w val="0.21739248447602585"/>
          <c:h val="5.8696062992125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561974</xdr:colOff>
      <xdr:row>0</xdr:row>
      <xdr:rowOff>76200</xdr:rowOff>
    </xdr:from>
    <xdr:to>
      <xdr:col>19</xdr:col>
      <xdr:colOff>323849</xdr:colOff>
      <xdr:row>20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EC3873-043E-2AB0-DE15-6E9ECEBFE5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A11B-7867-4B03-9B3E-58082764B8C8}">
  <sheetPr codeName="Sheet1"/>
  <dimension ref="A1:AF151"/>
  <sheetViews>
    <sheetView tabSelected="1" workbookViewId="0">
      <selection activeCell="N24" sqref="N24:Q29"/>
    </sheetView>
  </sheetViews>
  <sheetFormatPr defaultRowHeight="14.5" x14ac:dyDescent="0.35"/>
  <cols>
    <col min="3" max="3" width="13.453125" bestFit="1" customWidth="1"/>
    <col min="13" max="13" width="13.7265625" bestFit="1" customWidth="1"/>
    <col min="14" max="14" width="9.81640625" customWidth="1"/>
    <col min="20" max="20" width="12.453125" bestFit="1" customWidth="1"/>
  </cols>
  <sheetData>
    <row r="1" spans="1:11" x14ac:dyDescent="0.35">
      <c r="A1" s="1" t="s">
        <v>0</v>
      </c>
      <c r="B1" s="1" t="s">
        <v>1</v>
      </c>
      <c r="C1" s="1" t="s">
        <v>7</v>
      </c>
      <c r="D1" s="1" t="s">
        <v>2</v>
      </c>
      <c r="E1" s="1" t="s">
        <v>3</v>
      </c>
      <c r="F1" s="1" t="s">
        <v>4</v>
      </c>
      <c r="G1" s="1" t="s">
        <v>8</v>
      </c>
      <c r="H1" s="1" t="s">
        <v>5</v>
      </c>
      <c r="I1" s="1" t="s">
        <v>6</v>
      </c>
      <c r="J1" s="1"/>
      <c r="K1" s="1"/>
    </row>
    <row r="2" spans="1:11" x14ac:dyDescent="0.35">
      <c r="A2" s="2">
        <v>88</v>
      </c>
      <c r="B2" s="2">
        <v>100</v>
      </c>
      <c r="C2" s="2">
        <v>0.85</v>
      </c>
      <c r="D2" s="2">
        <v>1</v>
      </c>
      <c r="E2" s="2">
        <v>0</v>
      </c>
      <c r="F2" s="2">
        <v>0</v>
      </c>
      <c r="G2" s="2">
        <v>0</v>
      </c>
      <c r="H2" cm="1">
        <f t="array" ref="H2">PengRobinsonZ(A2, B2, C2, D2, E2, F2, G2)</f>
        <v>0.96777795029265723</v>
      </c>
      <c r="I2" cm="1">
        <f t="array" ref="I2">LBC_Viscosity(H2, A2, B2, C2, D2, E2, F2, G2)</f>
        <v>1.5715493022891228E-2</v>
      </c>
    </row>
    <row r="3" spans="1:11" x14ac:dyDescent="0.35">
      <c r="A3">
        <f>A2</f>
        <v>88</v>
      </c>
      <c r="B3">
        <f>B2+100</f>
        <v>200</v>
      </c>
      <c r="C3">
        <f t="shared" ref="C3:G3" si="0">C2</f>
        <v>0.85</v>
      </c>
      <c r="D3">
        <f t="shared" si="0"/>
        <v>1</v>
      </c>
      <c r="E3">
        <f t="shared" si="0"/>
        <v>0</v>
      </c>
      <c r="F3">
        <f t="shared" si="0"/>
        <v>0</v>
      </c>
      <c r="G3">
        <f t="shared" si="0"/>
        <v>0</v>
      </c>
      <c r="H3" cm="1">
        <f t="array" ref="H3">PengRobinsonZ(A3, B3, C3, D3, E3, F3, G3)</f>
        <v>0.93426034711518535</v>
      </c>
      <c r="I3" cm="1">
        <f t="array" ref="I3">LBC_Viscosity(H3, A3, B3, C3, D3, E3, F3, G3)</f>
        <v>1.5865925273357902E-2</v>
      </c>
    </row>
    <row r="4" spans="1:11" x14ac:dyDescent="0.35">
      <c r="A4">
        <f t="shared" ref="A4:A67" si="1">A3</f>
        <v>88</v>
      </c>
      <c r="B4">
        <f t="shared" ref="B4:B67" si="2">B3+100</f>
        <v>300</v>
      </c>
      <c r="C4">
        <f t="shared" ref="C4:G4" si="3">C3</f>
        <v>0.85</v>
      </c>
      <c r="D4">
        <f t="shared" si="3"/>
        <v>1</v>
      </c>
      <c r="E4">
        <f t="shared" si="3"/>
        <v>0</v>
      </c>
      <c r="F4">
        <f t="shared" si="3"/>
        <v>0</v>
      </c>
      <c r="G4">
        <f t="shared" si="3"/>
        <v>0</v>
      </c>
      <c r="H4" cm="1">
        <f t="array" ref="H4">PengRobinsonZ(A4, B4, C4, D4, E4, F4, G4)</f>
        <v>0.89921165291692229</v>
      </c>
      <c r="I4" cm="1">
        <f t="array" ref="I4">LBC_Viscosity(H4, A4, B4, C4, D4, E4, F4, G4)</f>
        <v>1.6050247569972885E-2</v>
      </c>
    </row>
    <row r="5" spans="1:11" x14ac:dyDescent="0.35">
      <c r="A5">
        <f t="shared" si="1"/>
        <v>88</v>
      </c>
      <c r="B5">
        <f t="shared" si="2"/>
        <v>400</v>
      </c>
      <c r="C5">
        <f t="shared" ref="C5:G5" si="4">C4</f>
        <v>0.85</v>
      </c>
      <c r="D5">
        <f t="shared" si="4"/>
        <v>1</v>
      </c>
      <c r="E5">
        <f t="shared" si="4"/>
        <v>0</v>
      </c>
      <c r="F5">
        <f t="shared" si="4"/>
        <v>0</v>
      </c>
      <c r="G5">
        <f t="shared" si="4"/>
        <v>0</v>
      </c>
      <c r="H5" cm="1">
        <f t="array" ref="H5">PengRobinsonZ(A5, B5, C5, D5, E5, F5, G5)</f>
        <v>0.86231654046482575</v>
      </c>
      <c r="I5" cm="1">
        <f t="array" ref="I5">LBC_Viscosity(H5, A5, B5, C5, D5, E5, F5, G5)</f>
        <v>1.6277355895000425E-2</v>
      </c>
    </row>
    <row r="6" spans="1:11" x14ac:dyDescent="0.35">
      <c r="A6">
        <f t="shared" si="1"/>
        <v>88</v>
      </c>
      <c r="B6">
        <f t="shared" si="2"/>
        <v>500</v>
      </c>
      <c r="C6">
        <f t="shared" ref="C6:G6" si="5">C5</f>
        <v>0.85</v>
      </c>
      <c r="D6">
        <f t="shared" si="5"/>
        <v>1</v>
      </c>
      <c r="E6">
        <f t="shared" si="5"/>
        <v>0</v>
      </c>
      <c r="F6">
        <f t="shared" si="5"/>
        <v>0</v>
      </c>
      <c r="G6">
        <f t="shared" si="5"/>
        <v>0</v>
      </c>
      <c r="H6" cm="1">
        <f t="array" ref="H6">PengRobinsonZ(A6, B6, C6, D6, E6, F6, G6)</f>
        <v>0.82313612596988162</v>
      </c>
      <c r="I6" cm="1">
        <f t="array" ref="I6">LBC_Viscosity(H6, A6, B6, C6, D6, E6, F6, G6)</f>
        <v>1.6560160167173293E-2</v>
      </c>
    </row>
    <row r="7" spans="1:11" x14ac:dyDescent="0.35">
      <c r="A7">
        <f t="shared" si="1"/>
        <v>88</v>
      </c>
      <c r="B7">
        <f t="shared" si="2"/>
        <v>600</v>
      </c>
      <c r="C7">
        <f t="shared" ref="C7:G7" si="6">C6</f>
        <v>0.85</v>
      </c>
      <c r="D7">
        <f t="shared" si="6"/>
        <v>1</v>
      </c>
      <c r="E7">
        <f t="shared" si="6"/>
        <v>0</v>
      </c>
      <c r="F7">
        <f t="shared" si="6"/>
        <v>0</v>
      </c>
      <c r="G7">
        <f t="shared" si="6"/>
        <v>0</v>
      </c>
      <c r="H7" cm="1">
        <f t="array" ref="H7">PengRobinsonZ(A7, B7, C7, D7, E7, F7, G7)</f>
        <v>0.78102748818111123</v>
      </c>
      <c r="I7" cm="1">
        <f t="array" ref="I7">LBC_Viscosity(H7, A7, B7, C7, D7, E7, F7, G7)</f>
        <v>1.6918403072468065E-2</v>
      </c>
    </row>
    <row r="8" spans="1:11" x14ac:dyDescent="0.35">
      <c r="A8">
        <f t="shared" si="1"/>
        <v>88</v>
      </c>
      <c r="B8">
        <f t="shared" si="2"/>
        <v>700</v>
      </c>
      <c r="C8">
        <f t="shared" ref="C8:G8" si="7">C7</f>
        <v>0.85</v>
      </c>
      <c r="D8">
        <f t="shared" si="7"/>
        <v>1</v>
      </c>
      <c r="E8">
        <f t="shared" si="7"/>
        <v>0</v>
      </c>
      <c r="F8">
        <f t="shared" si="7"/>
        <v>0</v>
      </c>
      <c r="G8">
        <f t="shared" si="7"/>
        <v>0</v>
      </c>
      <c r="H8" cm="1">
        <f t="array" ref="H8">PengRobinsonZ(A8, B8, C8, D8, E8, F8, G8)</f>
        <v>0.73497994781132858</v>
      </c>
      <c r="I8" cm="1">
        <f t="array" ref="I8">LBC_Viscosity(H8, A8, B8, C8, D8, E8, F8, G8)</f>
        <v>1.7384540274899964E-2</v>
      </c>
    </row>
    <row r="9" spans="1:11" x14ac:dyDescent="0.35">
      <c r="A9">
        <f t="shared" si="1"/>
        <v>88</v>
      </c>
      <c r="B9">
        <f t="shared" si="2"/>
        <v>800</v>
      </c>
      <c r="C9">
        <f t="shared" ref="C9:G9" si="8">C8</f>
        <v>0.85</v>
      </c>
      <c r="D9">
        <f t="shared" si="8"/>
        <v>1</v>
      </c>
      <c r="E9">
        <f t="shared" si="8"/>
        <v>0</v>
      </c>
      <c r="F9">
        <f t="shared" si="8"/>
        <v>0</v>
      </c>
      <c r="G9">
        <f t="shared" si="8"/>
        <v>0</v>
      </c>
      <c r="H9" cm="1">
        <f t="array" ref="H9">PengRobinsonZ(A9, B9, C9, D9, E9, F9, G9)</f>
        <v>0.68323013087168838</v>
      </c>
      <c r="I9" cm="1">
        <f t="array" ref="I9">LBC_Viscosity(H9, A9, B9, C9, D9, E9, F9, G9)</f>
        <v>1.8017942888222959E-2</v>
      </c>
    </row>
    <row r="10" spans="1:11" x14ac:dyDescent="0.35">
      <c r="A10">
        <f t="shared" si="1"/>
        <v>88</v>
      </c>
      <c r="B10">
        <f t="shared" si="2"/>
        <v>900</v>
      </c>
      <c r="C10">
        <f t="shared" ref="C10:G10" si="9">C9</f>
        <v>0.85</v>
      </c>
      <c r="D10">
        <f t="shared" si="9"/>
        <v>1</v>
      </c>
      <c r="E10">
        <f t="shared" si="9"/>
        <v>0</v>
      </c>
      <c r="F10">
        <f t="shared" si="9"/>
        <v>0</v>
      </c>
      <c r="G10">
        <f t="shared" si="9"/>
        <v>0</v>
      </c>
      <c r="H10" cm="1">
        <f t="array" ref="H10">PengRobinsonZ(A10, B10, C10, D10, E10, F10, G10)</f>
        <v>0.62212278081822581</v>
      </c>
      <c r="I10" cm="1">
        <f t="array" ref="I10">LBC_Viscosity(H10, A10, B10, C10, D10, E10, F10, G10)</f>
        <v>1.8948202103294527E-2</v>
      </c>
    </row>
    <row r="11" spans="1:11" x14ac:dyDescent="0.35">
      <c r="A11">
        <f t="shared" si="1"/>
        <v>88</v>
      </c>
      <c r="B11">
        <f t="shared" si="2"/>
        <v>1000</v>
      </c>
      <c r="C11">
        <f t="shared" ref="C11:G11" si="10">C10</f>
        <v>0.85</v>
      </c>
      <c r="D11">
        <f t="shared" si="10"/>
        <v>1</v>
      </c>
      <c r="E11">
        <f t="shared" si="10"/>
        <v>0</v>
      </c>
      <c r="F11">
        <f t="shared" si="10"/>
        <v>0</v>
      </c>
      <c r="G11">
        <f t="shared" si="10"/>
        <v>0</v>
      </c>
      <c r="H11" cm="1">
        <f t="array" ref="H11">PengRobinsonZ(A11, B11, C11, D11, E11, F11, G11)</f>
        <v>0.54079135476161688</v>
      </c>
      <c r="I11" cm="1">
        <f t="array" ref="I11">LBC_Viscosity(H11, A11, B11, C11, D11, E11, F11, G11)</f>
        <v>2.0584836647707681E-2</v>
      </c>
    </row>
    <row r="12" spans="1:11" x14ac:dyDescent="0.35">
      <c r="A12">
        <f t="shared" si="1"/>
        <v>88</v>
      </c>
      <c r="B12">
        <f t="shared" si="2"/>
        <v>1100</v>
      </c>
      <c r="C12">
        <f t="shared" ref="C12:G12" si="11">C11</f>
        <v>0.85</v>
      </c>
      <c r="D12">
        <f t="shared" si="11"/>
        <v>1</v>
      </c>
      <c r="E12">
        <f t="shared" si="11"/>
        <v>0</v>
      </c>
      <c r="F12">
        <f t="shared" si="11"/>
        <v>0</v>
      </c>
      <c r="G12">
        <f t="shared" si="11"/>
        <v>0</v>
      </c>
      <c r="H12" cm="1">
        <f t="array" ref="H12">PengRobinsonZ(A12, B12, C12, D12, E12, F12, G12)</f>
        <v>0.19265752648736587</v>
      </c>
      <c r="I12" cm="1">
        <f t="array" ref="I12">LBC_Viscosity(H12, A12, B12, C12, D12, E12, F12, G12)</f>
        <v>5.6173979991730044E-2</v>
      </c>
    </row>
    <row r="13" spans="1:11" x14ac:dyDescent="0.35">
      <c r="A13">
        <f t="shared" si="1"/>
        <v>88</v>
      </c>
      <c r="B13">
        <f t="shared" si="2"/>
        <v>1200</v>
      </c>
      <c r="C13">
        <f t="shared" ref="C13:G13" si="12">C12</f>
        <v>0.85</v>
      </c>
      <c r="D13">
        <f t="shared" si="12"/>
        <v>1</v>
      </c>
      <c r="E13">
        <f t="shared" si="12"/>
        <v>0</v>
      </c>
      <c r="F13">
        <f t="shared" si="12"/>
        <v>0</v>
      </c>
      <c r="G13">
        <f t="shared" si="12"/>
        <v>0</v>
      </c>
      <c r="H13" cm="1">
        <f t="array" ref="H13">PengRobinsonZ(A13, B13, C13, D13, E13, F13, G13)</f>
        <v>0.2020365037859308</v>
      </c>
      <c r="I13" cm="1">
        <f t="array" ref="I13">LBC_Viscosity(H13, A13, B13, C13, D13, E13, F13, G13)</f>
        <v>5.9674387767323533E-2</v>
      </c>
    </row>
    <row r="14" spans="1:11" x14ac:dyDescent="0.35">
      <c r="A14">
        <f t="shared" si="1"/>
        <v>88</v>
      </c>
      <c r="B14">
        <f t="shared" si="2"/>
        <v>1300</v>
      </c>
      <c r="C14">
        <f t="shared" ref="C14:G14" si="13">C13</f>
        <v>0.85</v>
      </c>
      <c r="D14">
        <f t="shared" si="13"/>
        <v>1</v>
      </c>
      <c r="E14">
        <f t="shared" si="13"/>
        <v>0</v>
      </c>
      <c r="F14">
        <f t="shared" si="13"/>
        <v>0</v>
      </c>
      <c r="G14">
        <f t="shared" si="13"/>
        <v>0</v>
      </c>
      <c r="H14" cm="1">
        <f t="array" ref="H14">PengRobinsonZ(A14, B14, C14, D14, E14, F14, G14)</f>
        <v>0.21260857839943159</v>
      </c>
      <c r="I14" cm="1">
        <f t="array" ref="I14">LBC_Viscosity(H14, A14, B14, C14, D14, E14, F14, G14)</f>
        <v>6.2499678443244805E-2</v>
      </c>
    </row>
    <row r="15" spans="1:11" x14ac:dyDescent="0.35">
      <c r="A15">
        <f t="shared" si="1"/>
        <v>88</v>
      </c>
      <c r="B15">
        <f t="shared" si="2"/>
        <v>1400</v>
      </c>
      <c r="C15">
        <f t="shared" ref="C15:G15" si="14">C14</f>
        <v>0.85</v>
      </c>
      <c r="D15">
        <f t="shared" si="14"/>
        <v>1</v>
      </c>
      <c r="E15">
        <f t="shared" si="14"/>
        <v>0</v>
      </c>
      <c r="F15">
        <f t="shared" si="14"/>
        <v>0</v>
      </c>
      <c r="G15">
        <f t="shared" si="14"/>
        <v>0</v>
      </c>
      <c r="H15" cm="1">
        <f t="array" ref="H15">PengRobinsonZ(A15, B15, C15, D15, E15, F15, G15)</f>
        <v>0.2237059453875796</v>
      </c>
      <c r="I15" cm="1">
        <f t="array" ref="I15">LBC_Viscosity(H15, A15, B15, C15, D15, E15, F15, G15)</f>
        <v>6.4935601190529671E-2</v>
      </c>
    </row>
    <row r="16" spans="1:11" x14ac:dyDescent="0.35">
      <c r="A16">
        <f t="shared" si="1"/>
        <v>88</v>
      </c>
      <c r="B16">
        <f t="shared" si="2"/>
        <v>1500</v>
      </c>
      <c r="C16">
        <f t="shared" ref="C16:G16" si="15">C15</f>
        <v>0.85</v>
      </c>
      <c r="D16">
        <f t="shared" si="15"/>
        <v>1</v>
      </c>
      <c r="E16">
        <f t="shared" si="15"/>
        <v>0</v>
      </c>
      <c r="F16">
        <f t="shared" si="15"/>
        <v>0</v>
      </c>
      <c r="G16">
        <f t="shared" si="15"/>
        <v>0</v>
      </c>
      <c r="H16" cm="1">
        <f t="array" ref="H16">PengRobinsonZ(A16, B16, C16, D16, E16, F16, G16)</f>
        <v>0.23506528827434167</v>
      </c>
      <c r="I16" cm="1">
        <f t="array" ref="I16">LBC_Viscosity(H16, A16, B16, C16, D16, E16, F16, G16)</f>
        <v>6.7111940141302853E-2</v>
      </c>
    </row>
    <row r="17" spans="1:32" x14ac:dyDescent="0.35">
      <c r="A17">
        <f t="shared" si="1"/>
        <v>88</v>
      </c>
      <c r="B17">
        <f t="shared" si="2"/>
        <v>1600</v>
      </c>
      <c r="C17">
        <f t="shared" ref="C17:G17" si="16">C16</f>
        <v>0.85</v>
      </c>
      <c r="D17">
        <f t="shared" si="16"/>
        <v>1</v>
      </c>
      <c r="E17">
        <f t="shared" si="16"/>
        <v>0</v>
      </c>
      <c r="F17">
        <f t="shared" si="16"/>
        <v>0</v>
      </c>
      <c r="G17">
        <f t="shared" si="16"/>
        <v>0</v>
      </c>
      <c r="H17" cm="1">
        <f t="array" ref="H17">PengRobinsonZ(A17, B17, C17, D17, E17, F17, G17)</f>
        <v>0.24655959573460393</v>
      </c>
      <c r="I17" cm="1">
        <f t="array" ref="I17">LBC_Viscosity(H17, A17, B17, C17, D17, E17, F17, G17)</f>
        <v>6.9100341782461744E-2</v>
      </c>
    </row>
    <row r="18" spans="1:32" x14ac:dyDescent="0.35">
      <c r="A18">
        <f t="shared" si="1"/>
        <v>88</v>
      </c>
      <c r="B18">
        <f t="shared" si="2"/>
        <v>1700</v>
      </c>
      <c r="C18">
        <f t="shared" ref="C18:G18" si="17">C17</f>
        <v>0.85</v>
      </c>
      <c r="D18">
        <f t="shared" si="17"/>
        <v>1</v>
      </c>
      <c r="E18">
        <f t="shared" si="17"/>
        <v>0</v>
      </c>
      <c r="F18">
        <f t="shared" si="17"/>
        <v>0</v>
      </c>
      <c r="G18">
        <f t="shared" si="17"/>
        <v>0</v>
      </c>
      <c r="H18" cm="1">
        <f t="array" ref="H18">PengRobinsonZ(A18, B18, C18, D18, E18, F18, G18)</f>
        <v>0.25812013099661008</v>
      </c>
      <c r="I18" cm="1">
        <f t="array" ref="I18">LBC_Viscosity(H18, A18, B18, C18, D18, E18, F18, G18)</f>
        <v>7.0945157999924666E-2</v>
      </c>
    </row>
    <row r="19" spans="1:32" x14ac:dyDescent="0.35">
      <c r="A19">
        <f t="shared" si="1"/>
        <v>88</v>
      </c>
      <c r="B19">
        <f t="shared" si="2"/>
        <v>1800</v>
      </c>
      <c r="C19">
        <f t="shared" ref="C19:G19" si="18">C18</f>
        <v>0.85</v>
      </c>
      <c r="D19">
        <f t="shared" si="18"/>
        <v>1</v>
      </c>
      <c r="E19">
        <f t="shared" si="18"/>
        <v>0</v>
      </c>
      <c r="F19">
        <f t="shared" si="18"/>
        <v>0</v>
      </c>
      <c r="G19">
        <f t="shared" si="18"/>
        <v>0</v>
      </c>
      <c r="H19" cm="1">
        <f t="array" ref="H19">PengRobinsonZ(A19, B19, C19, D19, E19, F19, G19)</f>
        <v>0.26970687166924562</v>
      </c>
      <c r="I19" cm="1">
        <f t="array" ref="I19">LBC_Viscosity(H19, A19, B19, C19, D19, E19, F19, G19)</f>
        <v>7.2676020710882347E-2</v>
      </c>
    </row>
    <row r="20" spans="1:32" x14ac:dyDescent="0.35">
      <c r="A20">
        <f t="shared" si="1"/>
        <v>88</v>
      </c>
      <c r="B20">
        <f t="shared" si="2"/>
        <v>1900</v>
      </c>
      <c r="C20">
        <f t="shared" ref="C20:G20" si="19">C19</f>
        <v>0.85</v>
      </c>
      <c r="D20">
        <f t="shared" si="19"/>
        <v>1</v>
      </c>
      <c r="E20">
        <f t="shared" si="19"/>
        <v>0</v>
      </c>
      <c r="F20">
        <f t="shared" si="19"/>
        <v>0</v>
      </c>
      <c r="G20">
        <f t="shared" si="19"/>
        <v>0</v>
      </c>
      <c r="H20" cm="1">
        <f t="array" ref="H20">PengRobinsonZ(A20, B20, C20, D20, E20, F20, G20)</f>
        <v>0.28129535829251584</v>
      </c>
      <c r="I20" cm="1">
        <f t="array" ref="I20">LBC_Viscosity(H20, A20, B20, C20, D20, E20, F20, G20)</f>
        <v>7.4313841359014615E-2</v>
      </c>
    </row>
    <row r="21" spans="1:32" x14ac:dyDescent="0.35">
      <c r="A21">
        <f t="shared" si="1"/>
        <v>88</v>
      </c>
      <c r="B21">
        <f t="shared" si="2"/>
        <v>2000</v>
      </c>
      <c r="C21">
        <f t="shared" ref="C21:G21" si="20">C20</f>
        <v>0.85</v>
      </c>
      <c r="D21">
        <f t="shared" si="20"/>
        <v>1</v>
      </c>
      <c r="E21">
        <f t="shared" si="20"/>
        <v>0</v>
      </c>
      <c r="F21">
        <f t="shared" si="20"/>
        <v>0</v>
      </c>
      <c r="G21">
        <f t="shared" si="20"/>
        <v>0</v>
      </c>
      <c r="H21" cm="1">
        <f t="array" ref="H21">PengRobinsonZ(A21, B21, C21, D21, E21, F21, G21)</f>
        <v>0.29287016276029965</v>
      </c>
      <c r="I21" cm="1">
        <f t="array" ref="I21">LBC_Viscosity(H21, A21, B21, C21, D21, E21, F21, G21)</f>
        <v>7.5873999806446463E-2</v>
      </c>
    </row>
    <row r="22" spans="1:32" x14ac:dyDescent="0.35">
      <c r="A22">
        <f t="shared" si="1"/>
        <v>88</v>
      </c>
      <c r="B22">
        <f t="shared" si="2"/>
        <v>2100</v>
      </c>
      <c r="C22">
        <f t="shared" ref="C22:G22" si="21">C21</f>
        <v>0.85</v>
      </c>
      <c r="D22">
        <f t="shared" si="21"/>
        <v>1</v>
      </c>
      <c r="E22">
        <f t="shared" si="21"/>
        <v>0</v>
      </c>
      <c r="F22">
        <f t="shared" si="21"/>
        <v>0</v>
      </c>
      <c r="G22">
        <f t="shared" si="21"/>
        <v>0</v>
      </c>
      <c r="H22" cm="1">
        <f t="array" ref="H22">PengRobinsonZ(A22, B22, C22, D22, E22, F22, G22)</f>
        <v>0.30442137256304563</v>
      </c>
      <c r="I22" cm="1">
        <f t="array" ref="I22">LBC_Viscosity(H22, A22, B22, C22, D22, E22, F22, G22)</f>
        <v>7.736817939823061E-2</v>
      </c>
    </row>
    <row r="23" spans="1:32" x14ac:dyDescent="0.35">
      <c r="A23">
        <f t="shared" si="1"/>
        <v>88</v>
      </c>
      <c r="B23">
        <f t="shared" si="2"/>
        <v>2200</v>
      </c>
      <c r="C23">
        <f t="shared" ref="C23:G23" si="22">C22</f>
        <v>0.85</v>
      </c>
      <c r="D23">
        <f t="shared" si="22"/>
        <v>1</v>
      </c>
      <c r="E23">
        <f t="shared" si="22"/>
        <v>0</v>
      </c>
      <c r="F23">
        <f t="shared" si="22"/>
        <v>0</v>
      </c>
      <c r="G23">
        <f t="shared" si="22"/>
        <v>0</v>
      </c>
      <c r="H23" cm="1">
        <f t="array" ref="H23">PengRobinsonZ(A23, B23, C23, D23, E23, F23, G23)</f>
        <v>0.31594257824063193</v>
      </c>
      <c r="I23" cm="1">
        <f t="array" ref="I23">LBC_Viscosity(H23, A23, B23, C23, D23, E23, F23, G23)</f>
        <v>7.8805489496530698E-2</v>
      </c>
      <c r="K23" s="1" t="s">
        <v>0</v>
      </c>
      <c r="L23" s="1" t="s">
        <v>1</v>
      </c>
      <c r="M23" s="1" t="s">
        <v>7</v>
      </c>
      <c r="N23" s="1" t="s">
        <v>2</v>
      </c>
      <c r="O23" s="1" t="s">
        <v>3</v>
      </c>
      <c r="P23" s="1" t="s">
        <v>4</v>
      </c>
      <c r="Q23" s="1" t="s">
        <v>8</v>
      </c>
      <c r="R23" s="1" t="s">
        <v>5</v>
      </c>
      <c r="S23" s="1" t="s">
        <v>6</v>
      </c>
    </row>
    <row r="24" spans="1:32" x14ac:dyDescent="0.35">
      <c r="A24">
        <f t="shared" si="1"/>
        <v>88</v>
      </c>
      <c r="B24">
        <f t="shared" si="2"/>
        <v>2300</v>
      </c>
      <c r="C24">
        <f t="shared" ref="C24:G24" si="23">C23</f>
        <v>0.85</v>
      </c>
      <c r="D24">
        <f t="shared" si="23"/>
        <v>1</v>
      </c>
      <c r="E24">
        <f t="shared" si="23"/>
        <v>0</v>
      </c>
      <c r="F24">
        <f t="shared" si="23"/>
        <v>0</v>
      </c>
      <c r="G24">
        <f t="shared" si="23"/>
        <v>0</v>
      </c>
      <c r="H24" cm="1">
        <f t="array" ref="H24">PengRobinsonZ(A24, B24, C24, D24, E24, F24, G24)</f>
        <v>0.3274296640377532</v>
      </c>
      <c r="I24" cm="1">
        <f t="array" ref="I24">LBC_Viscosity(H24, A24, B24, C24, D24, E24, F24, G24)</f>
        <v>8.0193186343974168E-2</v>
      </c>
      <c r="K24" s="2">
        <v>120</v>
      </c>
      <c r="L24" s="2">
        <v>1000</v>
      </c>
      <c r="M24" s="2">
        <v>0.85</v>
      </c>
      <c r="N24" s="2">
        <v>0</v>
      </c>
      <c r="O24" s="2">
        <v>0</v>
      </c>
      <c r="P24" s="2">
        <v>0</v>
      </c>
      <c r="Q24" s="2">
        <v>0</v>
      </c>
      <c r="R24" cm="1">
        <f t="array" ref="R24">PengRobinsonZ(K24, L24, M24, N24, O24, P24, Q24)</f>
        <v>0.76423614267021178</v>
      </c>
      <c r="S24" cm="1">
        <f t="array" ref="S24">LBC_Viscosity(R24, K24, L24, M24, N24, O24, P24, Q24)</f>
        <v>1.3509368326290764E-2</v>
      </c>
    </row>
    <row r="25" spans="1:32" x14ac:dyDescent="0.35">
      <c r="A25">
        <f t="shared" si="1"/>
        <v>88</v>
      </c>
      <c r="B25">
        <f t="shared" si="2"/>
        <v>2400</v>
      </c>
      <c r="C25">
        <f t="shared" ref="C25:G25" si="24">C24</f>
        <v>0.85</v>
      </c>
      <c r="D25">
        <f t="shared" si="24"/>
        <v>1</v>
      </c>
      <c r="E25">
        <f t="shared" si="24"/>
        <v>0</v>
      </c>
      <c r="F25">
        <f t="shared" si="24"/>
        <v>0</v>
      </c>
      <c r="G25">
        <f t="shared" si="24"/>
        <v>0</v>
      </c>
      <c r="H25" cm="1">
        <f t="array" ref="H25">PengRobinsonZ(A25, B25, C25, D25, E25, F25, G25)</f>
        <v>0.33888005219384815</v>
      </c>
      <c r="I25" cm="1">
        <f t="array" ref="I25">LBC_Viscosity(H25, A25, B25, C25, D25, E25, F25, G25)</f>
        <v>8.1537154701084982E-2</v>
      </c>
      <c r="K25" s="2">
        <v>120</v>
      </c>
      <c r="L25" s="2">
        <v>1000</v>
      </c>
      <c r="M25" s="2">
        <v>0.85</v>
      </c>
      <c r="N25" s="2">
        <v>1</v>
      </c>
      <c r="O25" s="2">
        <v>0</v>
      </c>
      <c r="P25" s="2">
        <v>0</v>
      </c>
      <c r="Q25" s="2">
        <v>0</v>
      </c>
      <c r="R25" cm="1">
        <f t="array" ref="R25">PengRobinsonZ(K25, L25, M25, N25, O25, P25, Q25)</f>
        <v>0.67477662086498824</v>
      </c>
      <c r="S25" cm="1">
        <f t="array" ref="S25">LBC_Viscosity(R25, K25, L25, M25, N25, O25, P25, Q25)</f>
        <v>1.9612417086373235E-2</v>
      </c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</row>
    <row r="26" spans="1:32" x14ac:dyDescent="0.35">
      <c r="A26">
        <f t="shared" si="1"/>
        <v>88</v>
      </c>
      <c r="B26">
        <f t="shared" si="2"/>
        <v>2500</v>
      </c>
      <c r="C26">
        <f t="shared" ref="C26:G26" si="25">C25</f>
        <v>0.85</v>
      </c>
      <c r="D26">
        <f t="shared" si="25"/>
        <v>1</v>
      </c>
      <c r="E26">
        <f t="shared" si="25"/>
        <v>0</v>
      </c>
      <c r="F26">
        <f t="shared" si="25"/>
        <v>0</v>
      </c>
      <c r="G26">
        <f t="shared" si="25"/>
        <v>0</v>
      </c>
      <c r="H26" cm="1">
        <f t="array" ref="H26">PengRobinsonZ(A26, B26, C26, D26, E26, F26, G26)</f>
        <v>0.35029221529841892</v>
      </c>
      <c r="I26" cm="1">
        <f t="array" ref="I26">LBC_Viscosity(H26, A26, B26, C26, D26, E26, F26, G26)</f>
        <v>8.2842240437575154E-2</v>
      </c>
      <c r="K26" s="2">
        <v>120</v>
      </c>
      <c r="L26" s="2">
        <v>1000</v>
      </c>
      <c r="M26" s="2">
        <v>0.85</v>
      </c>
      <c r="N26" s="2">
        <v>0</v>
      </c>
      <c r="O26" s="2">
        <v>1</v>
      </c>
      <c r="P26" s="2">
        <v>0</v>
      </c>
      <c r="Q26" s="2">
        <v>0</v>
      </c>
      <c r="R26" cm="1">
        <f t="array" ref="R26">PengRobinsonZ(K26, L26, M26, N26, O26, P26, Q26)</f>
        <v>0.12071177360665281</v>
      </c>
      <c r="S26" cm="1">
        <f t="array" ref="S26">LBC_Viscosity(R26, K26, L26, M26, N26, O26, P26, Q26)</f>
        <v>9.8107659668951394E-2</v>
      </c>
    </row>
    <row r="27" spans="1:32" x14ac:dyDescent="0.35">
      <c r="A27">
        <f t="shared" si="1"/>
        <v>88</v>
      </c>
      <c r="B27">
        <f t="shared" si="2"/>
        <v>2600</v>
      </c>
      <c r="C27">
        <f t="shared" ref="C27:G27" si="26">C26</f>
        <v>0.85</v>
      </c>
      <c r="D27">
        <f t="shared" si="26"/>
        <v>1</v>
      </c>
      <c r="E27">
        <f t="shared" si="26"/>
        <v>0</v>
      </c>
      <c r="F27">
        <f t="shared" si="26"/>
        <v>0</v>
      </c>
      <c r="G27">
        <f t="shared" si="26"/>
        <v>0</v>
      </c>
      <c r="H27" cm="1">
        <f t="array" ref="H27">PengRobinsonZ(A27, B27, C27, D27, E27, F27, G27)</f>
        <v>0.36166535312611786</v>
      </c>
      <c r="I27" cm="1">
        <f t="array" ref="I27">LBC_Viscosity(H27, A27, B27, C27, D27, E27, F27, G27)</f>
        <v>8.4112486697075703E-2</v>
      </c>
      <c r="K27" s="2">
        <v>120</v>
      </c>
      <c r="L27" s="2">
        <v>1000</v>
      </c>
      <c r="M27" s="2">
        <v>0.85</v>
      </c>
      <c r="N27" s="2">
        <v>0</v>
      </c>
      <c r="O27" s="2">
        <v>0</v>
      </c>
      <c r="P27" s="2">
        <v>1</v>
      </c>
      <c r="Q27" s="2">
        <v>0</v>
      </c>
      <c r="R27" cm="1">
        <f t="array" ref="R27">PengRobinsonZ(K27, L27, M27, N27, O27, P27, Q27)</f>
        <v>1.0088991942207746</v>
      </c>
      <c r="S27" cm="1">
        <f t="array" ref="S27">LBC_Viscosity(R27, K27, L27, M27, N27, O27, P27, Q27)</f>
        <v>1.9547064619865988E-2</v>
      </c>
    </row>
    <row r="28" spans="1:32" x14ac:dyDescent="0.35">
      <c r="A28">
        <f t="shared" si="1"/>
        <v>88</v>
      </c>
      <c r="B28">
        <f t="shared" si="2"/>
        <v>2700</v>
      </c>
      <c r="C28">
        <f t="shared" ref="C28:G28" si="27">C27</f>
        <v>0.85</v>
      </c>
      <c r="D28">
        <f t="shared" si="27"/>
        <v>1</v>
      </c>
      <c r="E28">
        <f t="shared" si="27"/>
        <v>0</v>
      </c>
      <c r="F28">
        <f t="shared" si="27"/>
        <v>0</v>
      </c>
      <c r="G28">
        <f t="shared" si="27"/>
        <v>0</v>
      </c>
      <c r="H28" cm="1">
        <f t="array" ref="H28">PengRobinsonZ(A28, B28, C28, D28, E28, F28, G28)</f>
        <v>0.37299917364602747</v>
      </c>
      <c r="I28" cm="1">
        <f t="array" ref="I28">LBC_Viscosity(H28, A28, B28, C28, D28, E28, F28, G28)</f>
        <v>8.5351305649720668E-2</v>
      </c>
      <c r="K28" s="2">
        <v>120</v>
      </c>
      <c r="L28" s="2">
        <v>1000</v>
      </c>
      <c r="M28" s="2">
        <v>0.85</v>
      </c>
      <c r="N28" s="2">
        <v>0</v>
      </c>
      <c r="O28" s="2">
        <v>0</v>
      </c>
      <c r="P28" s="2">
        <v>0</v>
      </c>
      <c r="Q28" s="2">
        <v>1</v>
      </c>
      <c r="R28" cm="1">
        <f t="array" ref="R28">PengRobinsonZ(K28, L28, M28, N28, O28, P28, Q28)</f>
        <v>1.0323446563285084</v>
      </c>
      <c r="S28" cm="1">
        <f t="array" ref="S28">LBC_Viscosity(R28, K28, L28, M28, N28, O28, P28, Q28)</f>
        <v>9.8077927409568853E-3</v>
      </c>
    </row>
    <row r="29" spans="1:32" x14ac:dyDescent="0.35">
      <c r="A29">
        <f t="shared" si="1"/>
        <v>88</v>
      </c>
      <c r="B29">
        <f t="shared" si="2"/>
        <v>2800</v>
      </c>
      <c r="C29">
        <f t="shared" ref="C29:G29" si="28">C28</f>
        <v>0.85</v>
      </c>
      <c r="D29">
        <f t="shared" si="28"/>
        <v>1</v>
      </c>
      <c r="E29">
        <f t="shared" si="28"/>
        <v>0</v>
      </c>
      <c r="F29">
        <f t="shared" si="28"/>
        <v>0</v>
      </c>
      <c r="G29">
        <f t="shared" si="28"/>
        <v>0</v>
      </c>
      <c r="H29" cm="1">
        <f t="array" ref="H29">PengRobinsonZ(A29, B29, C29, D29, E29, F29, G29)</f>
        <v>0.38429374181959586</v>
      </c>
      <c r="I29" cm="1">
        <f t="array" ref="I29">LBC_Viscosity(H29, A29, B29, C29, D29, E29, F29, G29)</f>
        <v>8.6561606017180839E-2</v>
      </c>
      <c r="K29" s="2">
        <v>120</v>
      </c>
      <c r="L29" s="2">
        <v>1000</v>
      </c>
      <c r="M29" s="2">
        <v>0.85</v>
      </c>
      <c r="N29" s="2">
        <v>0.2</v>
      </c>
      <c r="O29" s="2">
        <v>0.01</v>
      </c>
      <c r="P29" s="2">
        <v>0.03</v>
      </c>
      <c r="Q29" s="2">
        <v>0.02</v>
      </c>
      <c r="R29" cm="1">
        <f t="array" ref="R29">PengRobinsonZ(K29, L29, M29, N29, O29, P29, Q29)</f>
        <v>0.84900607849786958</v>
      </c>
      <c r="S29" cm="1">
        <f t="array" ref="S29">LBC_Viscosity(R29, K29, L29, M29, N29, O29, P29, Q29)</f>
        <v>1.4741521559200268E-2</v>
      </c>
    </row>
    <row r="30" spans="1:32" x14ac:dyDescent="0.35">
      <c r="A30">
        <f t="shared" si="1"/>
        <v>88</v>
      </c>
      <c r="B30">
        <f t="shared" si="2"/>
        <v>2900</v>
      </c>
      <c r="C30">
        <f t="shared" ref="C30:G30" si="29">C29</f>
        <v>0.85</v>
      </c>
      <c r="D30">
        <f t="shared" si="29"/>
        <v>1</v>
      </c>
      <c r="E30">
        <f t="shared" si="29"/>
        <v>0</v>
      </c>
      <c r="F30">
        <f t="shared" si="29"/>
        <v>0</v>
      </c>
      <c r="G30">
        <f t="shared" si="29"/>
        <v>0</v>
      </c>
      <c r="H30" cm="1">
        <f t="array" ref="H30">PengRobinsonZ(A30, B30, C30, D30, E30, F30, G30)</f>
        <v>0.39554937354935893</v>
      </c>
      <c r="I30" cm="1">
        <f t="array" ref="I30">LBC_Viscosity(H30, A30, B30, C30, D30, E30, F30, G30)</f>
        <v>8.7745889493707804E-2</v>
      </c>
      <c r="M30" s="5"/>
    </row>
    <row r="31" spans="1:32" x14ac:dyDescent="0.35">
      <c r="A31">
        <f t="shared" si="1"/>
        <v>88</v>
      </c>
      <c r="B31">
        <f t="shared" si="2"/>
        <v>3000</v>
      </c>
      <c r="C31">
        <f t="shared" ref="C31:G31" si="30">C30</f>
        <v>0.85</v>
      </c>
      <c r="D31">
        <f t="shared" si="30"/>
        <v>1</v>
      </c>
      <c r="E31">
        <f t="shared" si="30"/>
        <v>0</v>
      </c>
      <c r="F31">
        <f t="shared" si="30"/>
        <v>0</v>
      </c>
      <c r="G31">
        <f t="shared" si="30"/>
        <v>0</v>
      </c>
      <c r="H31" cm="1">
        <f t="array" ref="H31">PengRobinsonZ(A31, B31, C31, D31, E31, F31, G31)</f>
        <v>0.40676656031343933</v>
      </c>
      <c r="I31" cm="1">
        <f t="array" ref="I31">LBC_Viscosity(H31, A31, B31, C31, D31, E31, F31, G31)</f>
        <v>8.8906324827844815E-2</v>
      </c>
    </row>
    <row r="32" spans="1:32" x14ac:dyDescent="0.35">
      <c r="A32">
        <f t="shared" si="1"/>
        <v>88</v>
      </c>
      <c r="B32">
        <f t="shared" si="2"/>
        <v>3100</v>
      </c>
      <c r="C32">
        <f t="shared" ref="C32:G32" si="31">C31</f>
        <v>0.85</v>
      </c>
      <c r="D32">
        <f t="shared" si="31"/>
        <v>1</v>
      </c>
      <c r="E32">
        <f t="shared" si="31"/>
        <v>0</v>
      </c>
      <c r="F32">
        <f t="shared" si="31"/>
        <v>0</v>
      </c>
      <c r="G32">
        <f t="shared" si="31"/>
        <v>0</v>
      </c>
      <c r="H32" cm="1">
        <f t="array" ref="H32">PengRobinsonZ(A32, B32, C32, D32, E32, F32, G32)</f>
        <v>0.41794591502484113</v>
      </c>
      <c r="I32" cm="1">
        <f t="array" ref="I32">LBC_Viscosity(H32, A32, B32, C32, D32, E32, F32, G32)</f>
        <v>9.0044805558247912E-2</v>
      </c>
    </row>
    <row r="33" spans="1:15" x14ac:dyDescent="0.35">
      <c r="A33">
        <f t="shared" si="1"/>
        <v>88</v>
      </c>
      <c r="B33">
        <f t="shared" si="2"/>
        <v>3200</v>
      </c>
      <c r="C33">
        <f t="shared" ref="C33:G33" si="32">C32</f>
        <v>0.85</v>
      </c>
      <c r="D33">
        <f t="shared" si="32"/>
        <v>1</v>
      </c>
      <c r="E33">
        <f t="shared" si="32"/>
        <v>0</v>
      </c>
      <c r="F33">
        <f t="shared" si="32"/>
        <v>0</v>
      </c>
      <c r="G33">
        <f t="shared" si="32"/>
        <v>0</v>
      </c>
      <c r="H33" cm="1">
        <f t="array" ref="H33">PengRobinsonZ(A33, B33, C33, D33, E33, F33, G33)</f>
        <v>0.42908813279892111</v>
      </c>
      <c r="I33" cm="1">
        <f t="array" ref="I33">LBC_Viscosity(H33, A33, B33, C33, D33, E33, F33, G33)</f>
        <v>9.1162995588866078E-2</v>
      </c>
      <c r="M33" s="3"/>
      <c r="N33" s="3"/>
      <c r="O33" s="3"/>
    </row>
    <row r="34" spans="1:15" x14ac:dyDescent="0.35">
      <c r="A34">
        <f t="shared" si="1"/>
        <v>88</v>
      </c>
      <c r="B34">
        <f t="shared" si="2"/>
        <v>3300</v>
      </c>
      <c r="C34">
        <f t="shared" ref="C34:G34" si="33">C33</f>
        <v>0.85</v>
      </c>
      <c r="D34">
        <f t="shared" si="33"/>
        <v>1</v>
      </c>
      <c r="E34">
        <f t="shared" si="33"/>
        <v>0</v>
      </c>
      <c r="F34">
        <f t="shared" si="33"/>
        <v>0</v>
      </c>
      <c r="G34">
        <f t="shared" si="33"/>
        <v>0</v>
      </c>
      <c r="H34" cm="1">
        <f t="array" ref="H34">PengRobinsonZ(A34, B34, C34, D34, E34, F34, G34)</f>
        <v>0.44019396233415797</v>
      </c>
      <c r="I34" cm="1">
        <f t="array" ref="I34">LBC_Viscosity(H34, A34, B34, C34, D34, E34, F34, G34)</f>
        <v>9.2262365581324168E-2</v>
      </c>
    </row>
    <row r="35" spans="1:15" x14ac:dyDescent="0.35">
      <c r="A35">
        <f t="shared" si="1"/>
        <v>88</v>
      </c>
      <c r="B35">
        <f t="shared" si="2"/>
        <v>3400</v>
      </c>
      <c r="C35">
        <f t="shared" ref="C35:G35" si="34">C34</f>
        <v>0.85</v>
      </c>
      <c r="D35">
        <f t="shared" si="34"/>
        <v>1</v>
      </c>
      <c r="E35">
        <f t="shared" si="34"/>
        <v>0</v>
      </c>
      <c r="F35">
        <f t="shared" si="34"/>
        <v>0</v>
      </c>
      <c r="G35">
        <f t="shared" si="34"/>
        <v>0</v>
      </c>
      <c r="H35" cm="1">
        <f t="array" ref="H35">PengRobinsonZ(A35, B35, C35, D35, E35, F35, G35)</f>
        <v>0.4512641849381831</v>
      </c>
      <c r="I35" cm="1">
        <f t="array" ref="I35">LBC_Viscosity(H35, A35, B35, C35, D35, E35, F35, G35)</f>
        <v>9.3344222319265535E-2</v>
      </c>
    </row>
    <row r="36" spans="1:15" x14ac:dyDescent="0.35">
      <c r="A36">
        <f t="shared" si="1"/>
        <v>88</v>
      </c>
      <c r="B36">
        <f t="shared" si="2"/>
        <v>3500</v>
      </c>
      <c r="C36">
        <f t="shared" ref="C36:G36" si="35">C35</f>
        <v>0.85</v>
      </c>
      <c r="D36">
        <f t="shared" si="35"/>
        <v>1</v>
      </c>
      <c r="E36">
        <f t="shared" si="35"/>
        <v>0</v>
      </c>
      <c r="F36">
        <f t="shared" si="35"/>
        <v>0</v>
      </c>
      <c r="G36">
        <f t="shared" si="35"/>
        <v>0</v>
      </c>
      <c r="H36" cm="1">
        <f t="array" ref="H36">PengRobinsonZ(A36, B36, C36, D36, E36, F36, G36)</f>
        <v>0.46229959911799007</v>
      </c>
      <c r="I36" cm="1">
        <f t="array" ref="I36">LBC_Viscosity(H36, A36, B36, C36, D36, E36, F36, G36)</f>
        <v>9.4409732627760284E-2</v>
      </c>
    </row>
    <row r="37" spans="1:15" x14ac:dyDescent="0.35">
      <c r="A37">
        <f t="shared" si="1"/>
        <v>88</v>
      </c>
      <c r="B37">
        <f t="shared" si="2"/>
        <v>3600</v>
      </c>
      <c r="C37">
        <f t="shared" ref="C37:G37" si="36">C36</f>
        <v>0.85</v>
      </c>
      <c r="D37">
        <f t="shared" si="36"/>
        <v>1</v>
      </c>
      <c r="E37">
        <f t="shared" si="36"/>
        <v>0</v>
      </c>
      <c r="F37">
        <f t="shared" si="36"/>
        <v>0</v>
      </c>
      <c r="G37">
        <f t="shared" si="36"/>
        <v>0</v>
      </c>
      <c r="H37" cm="1">
        <f t="array" ref="H37">PengRobinsonZ(A37, B37, C37, D37, E37, F37, G37)</f>
        <v>0.47330100925601976</v>
      </c>
      <c r="I37" cm="1">
        <f t="array" ref="I37">LBC_Viscosity(H37, A37, B37, C37, D37, E37, F37, G37)</f>
        <v>9.5459943027103727E-2</v>
      </c>
    </row>
    <row r="38" spans="1:15" x14ac:dyDescent="0.35">
      <c r="A38">
        <f t="shared" si="1"/>
        <v>88</v>
      </c>
      <c r="B38">
        <f t="shared" si="2"/>
        <v>3700</v>
      </c>
      <c r="C38">
        <f t="shared" ref="C38:G38" si="37">C37</f>
        <v>0.85</v>
      </c>
      <c r="D38">
        <f t="shared" si="37"/>
        <v>1</v>
      </c>
      <c r="E38">
        <f t="shared" si="37"/>
        <v>0</v>
      </c>
      <c r="F38">
        <f t="shared" si="37"/>
        <v>0</v>
      </c>
      <c r="G38">
        <f t="shared" si="37"/>
        <v>0</v>
      </c>
      <c r="H38" cm="1">
        <f t="array" ref="H38">PengRobinsonZ(A38, B38, C38, D38, E38, F38, G38)</f>
        <v>0.48426921730966649</v>
      </c>
      <c r="I38" cm="1">
        <f t="array" ref="I38">LBC_Viscosity(H38, A38, B38, C38, D38, E38, F38, G38)</f>
        <v>9.649579601070854E-2</v>
      </c>
    </row>
    <row r="39" spans="1:15" x14ac:dyDescent="0.35">
      <c r="A39">
        <f t="shared" si="1"/>
        <v>88</v>
      </c>
      <c r="B39">
        <f t="shared" si="2"/>
        <v>3800</v>
      </c>
      <c r="C39">
        <f t="shared" ref="C39:G39" si="38">C38</f>
        <v>0.85</v>
      </c>
      <c r="D39">
        <f t="shared" si="38"/>
        <v>1</v>
      </c>
      <c r="E39">
        <f t="shared" si="38"/>
        <v>0</v>
      </c>
      <c r="F39">
        <f t="shared" si="38"/>
        <v>0</v>
      </c>
      <c r="G39">
        <f t="shared" si="38"/>
        <v>0</v>
      </c>
      <c r="H39" cm="1">
        <f t="array" ref="H39">PengRobinsonZ(A39, B39, C39, D39, E39, F39, G39)</f>
        <v>0.49520501676254619</v>
      </c>
      <c r="I39" cm="1">
        <f t="array" ref="I39">LBC_Viscosity(H39, A39, B39, C39, D39, E39, F39, G39)</f>
        <v>9.7518143626112899E-2</v>
      </c>
    </row>
    <row r="40" spans="1:15" x14ac:dyDescent="0.35">
      <c r="A40">
        <f t="shared" si="1"/>
        <v>88</v>
      </c>
      <c r="B40">
        <f t="shared" si="2"/>
        <v>3900</v>
      </c>
      <c r="C40">
        <f t="shared" ref="C40:G40" si="39">C39</f>
        <v>0.85</v>
      </c>
      <c r="D40">
        <f t="shared" si="39"/>
        <v>1</v>
      </c>
      <c r="E40">
        <f t="shared" si="39"/>
        <v>0</v>
      </c>
      <c r="F40">
        <f t="shared" si="39"/>
        <v>0</v>
      </c>
      <c r="G40">
        <f t="shared" si="39"/>
        <v>0</v>
      </c>
      <c r="H40" cm="1">
        <f t="array" ref="H40">PengRobinsonZ(A40, B40, C40, D40, E40, F40, G40)</f>
        <v>0.50610918826176088</v>
      </c>
      <c r="I40" cm="1">
        <f t="array" ref="I40">LBC_Viscosity(H40, A40, B40, C40, D40, E40, F40, G40)</f>
        <v>9.8527758882893321E-2</v>
      </c>
    </row>
    <row r="41" spans="1:15" x14ac:dyDescent="0.35">
      <c r="A41">
        <f t="shared" si="1"/>
        <v>88</v>
      </c>
      <c r="B41">
        <f t="shared" si="2"/>
        <v>4000</v>
      </c>
      <c r="C41">
        <f t="shared" ref="C41:G41" si="40">C40</f>
        <v>0.85</v>
      </c>
      <c r="D41">
        <f t="shared" si="40"/>
        <v>1</v>
      </c>
      <c r="E41">
        <f t="shared" si="40"/>
        <v>0</v>
      </c>
      <c r="F41">
        <f t="shared" si="40"/>
        <v>0</v>
      </c>
      <c r="G41">
        <f t="shared" si="40"/>
        <v>0</v>
      </c>
      <c r="H41" cm="1">
        <f t="array" ref="H41">PengRobinsonZ(A41, B41, C41, D41, E41, F41, G41)</f>
        <v>0.51698249652281136</v>
      </c>
      <c r="I41" cm="1">
        <f t="array" ref="I41">LBC_Viscosity(H41, A41, B41, C41, D41, E41, F41, G41)</f>
        <v>9.9525345395511236E-2</v>
      </c>
    </row>
    <row r="42" spans="1:15" x14ac:dyDescent="0.35">
      <c r="A42">
        <f t="shared" si="1"/>
        <v>88</v>
      </c>
      <c r="B42">
        <f t="shared" si="2"/>
        <v>4100</v>
      </c>
      <c r="C42">
        <f t="shared" ref="C42:G42" si="41">C41</f>
        <v>0.85</v>
      </c>
      <c r="D42">
        <f t="shared" si="41"/>
        <v>1</v>
      </c>
      <c r="E42">
        <f t="shared" si="41"/>
        <v>0</v>
      </c>
      <c r="F42">
        <f t="shared" si="41"/>
        <v>0</v>
      </c>
      <c r="G42">
        <f t="shared" si="41"/>
        <v>0</v>
      </c>
      <c r="H42" cm="1">
        <f t="array" ref="H42">PengRobinsonZ(A42, B42, C42, D42, E42, F42, G42)</f>
        <v>0.52782568819046038</v>
      </c>
      <c r="I42" cm="1">
        <f t="array" ref="I42">LBC_Viscosity(H42, A42, B42, C42, D42, E42, F42, G42)</f>
        <v>0.10051154558186375</v>
      </c>
    </row>
    <row r="43" spans="1:15" x14ac:dyDescent="0.35">
      <c r="A43">
        <f t="shared" si="1"/>
        <v>88</v>
      </c>
      <c r="B43">
        <f t="shared" si="2"/>
        <v>4200</v>
      </c>
      <c r="C43">
        <f t="shared" ref="C43:G43" si="42">C42</f>
        <v>0.85</v>
      </c>
      <c r="D43">
        <f t="shared" si="42"/>
        <v>1</v>
      </c>
      <c r="E43">
        <f t="shared" si="42"/>
        <v>0</v>
      </c>
      <c r="F43">
        <f t="shared" si="42"/>
        <v>0</v>
      </c>
      <c r="G43">
        <f t="shared" si="42"/>
        <v>0</v>
      </c>
      <c r="H43" cm="1">
        <f t="array" ref="H43">PengRobinsonZ(A43, B43, C43, D43, E43, F43, G43)</f>
        <v>0.53863949042174353</v>
      </c>
      <c r="I43" cm="1">
        <f t="array" ref="I43">LBC_Viscosity(H43, A43, B43, C43, D43, E43, F43, G43)</f>
        <v>0.10148694767184292</v>
      </c>
    </row>
    <row r="44" spans="1:15" x14ac:dyDescent="0.35">
      <c r="A44">
        <f t="shared" si="1"/>
        <v>88</v>
      </c>
      <c r="B44">
        <f t="shared" si="2"/>
        <v>4300</v>
      </c>
      <c r="C44">
        <f t="shared" ref="C44:G44" si="43">C43</f>
        <v>0.85</v>
      </c>
      <c r="D44">
        <f t="shared" si="43"/>
        <v>1</v>
      </c>
      <c r="E44">
        <f t="shared" si="43"/>
        <v>0</v>
      </c>
      <c r="F44">
        <f t="shared" si="43"/>
        <v>0</v>
      </c>
      <c r="G44">
        <f t="shared" si="43"/>
        <v>0</v>
      </c>
      <c r="H44" cm="1">
        <f t="array" ref="H44">PengRobinsonZ(A44, B44, C44, D44, E44, F44, G44)</f>
        <v>0.54942461001468135</v>
      </c>
      <c r="I44" cm="1">
        <f t="array" ref="I44">LBC_Viscosity(H44, A44, B44, C44, D44, E44, F44, G44)</f>
        <v>0.10245209172912043</v>
      </c>
    </row>
    <row r="45" spans="1:15" x14ac:dyDescent="0.35">
      <c r="A45">
        <f t="shared" si="1"/>
        <v>88</v>
      </c>
      <c r="B45">
        <f t="shared" si="2"/>
        <v>4400</v>
      </c>
      <c r="C45">
        <f t="shared" ref="C45:G45" si="44">C44</f>
        <v>0.85</v>
      </c>
      <c r="D45">
        <f t="shared" si="44"/>
        <v>1</v>
      </c>
      <c r="E45">
        <f t="shared" si="44"/>
        <v>0</v>
      </c>
      <c r="F45">
        <f t="shared" si="44"/>
        <v>0</v>
      </c>
      <c r="G45">
        <f t="shared" si="44"/>
        <v>0</v>
      </c>
      <c r="H45" cm="1">
        <f t="array" ref="H45">PengRobinsonZ(A45, B45, C45, D45, E45, F45, G45)</f>
        <v>0.56018173294886131</v>
      </c>
      <c r="I45" cm="1">
        <f t="array" ref="I45">LBC_Viscosity(H45, A45, B45, C45, D45, E45, F45, G45)</f>
        <v>0.10340747484973639</v>
      </c>
    </row>
    <row r="46" spans="1:15" x14ac:dyDescent="0.35">
      <c r="A46">
        <f t="shared" si="1"/>
        <v>88</v>
      </c>
      <c r="B46">
        <f t="shared" si="2"/>
        <v>4500</v>
      </c>
      <c r="C46">
        <f t="shared" ref="C46:G46" si="45">C45</f>
        <v>0.85</v>
      </c>
      <c r="D46">
        <f t="shared" si="45"/>
        <v>1</v>
      </c>
      <c r="E46">
        <f t="shared" si="45"/>
        <v>0</v>
      </c>
      <c r="F46">
        <f t="shared" si="45"/>
        <v>0</v>
      </c>
      <c r="G46">
        <f t="shared" si="45"/>
        <v>0</v>
      </c>
      <c r="H46" cm="1">
        <f t="array" ref="H46">PengRobinsonZ(A46, B46, C46, D46, E46, F46, G46)</f>
        <v>0.57091152423590175</v>
      </c>
      <c r="I46" cm="1">
        <f t="array" ref="I46">LBC_Viscosity(H46, A46, B46, C46, D46, E46, F46, G46)</f>
        <v>0.10435355567008482</v>
      </c>
    </row>
    <row r="47" spans="1:15" x14ac:dyDescent="0.35">
      <c r="A47">
        <f t="shared" si="1"/>
        <v>88</v>
      </c>
      <c r="B47">
        <f t="shared" si="2"/>
        <v>4600</v>
      </c>
      <c r="C47">
        <f t="shared" ref="C47:G47" si="46">C46</f>
        <v>0.85</v>
      </c>
      <c r="D47">
        <f t="shared" si="46"/>
        <v>1</v>
      </c>
      <c r="E47">
        <f t="shared" si="46"/>
        <v>0</v>
      </c>
      <c r="F47">
        <f t="shared" si="46"/>
        <v>0</v>
      </c>
      <c r="G47">
        <f t="shared" si="46"/>
        <v>0</v>
      </c>
      <c r="H47" cm="1">
        <f t="array" ref="H47">PengRobinsonZ(A47, B47, C47, D47, E47, F47, G47)</f>
        <v>0.58161462800179697</v>
      </c>
      <c r="I47" cm="1">
        <f t="array" ref="I47">LBC_Viscosity(H47, A47, B47, C47, D47, E47, F47, G47)</f>
        <v>0.10529075829245882</v>
      </c>
    </row>
    <row r="48" spans="1:15" x14ac:dyDescent="0.35">
      <c r="A48">
        <f t="shared" si="1"/>
        <v>88</v>
      </c>
      <c r="B48">
        <f t="shared" si="2"/>
        <v>4700</v>
      </c>
      <c r="C48">
        <f t="shared" ref="C48:G48" si="47">C47</f>
        <v>0.85</v>
      </c>
      <c r="D48">
        <f t="shared" si="47"/>
        <v>1</v>
      </c>
      <c r="E48">
        <f t="shared" si="47"/>
        <v>0</v>
      </c>
      <c r="F48">
        <f t="shared" si="47"/>
        <v>0</v>
      </c>
      <c r="G48">
        <f t="shared" si="47"/>
        <v>0</v>
      </c>
      <c r="H48" cm="1">
        <f t="array" ref="H48">PengRobinsonZ(A48, B48, C48, D48, E48, F48, G48)</f>
        <v>0.59229166774129849</v>
      </c>
      <c r="I48" cm="1">
        <f t="array" ref="I48">LBC_Viscosity(H48, A48, B48, C48, D48, E48, F48, G48)</f>
        <v>0.10621947571693348</v>
      </c>
    </row>
    <row r="49" spans="1:9" x14ac:dyDescent="0.35">
      <c r="A49">
        <f t="shared" si="1"/>
        <v>88</v>
      </c>
      <c r="B49">
        <f t="shared" si="2"/>
        <v>4800</v>
      </c>
      <c r="C49">
        <f t="shared" ref="C49:G49" si="48">C48</f>
        <v>0.85</v>
      </c>
      <c r="D49">
        <f t="shared" si="48"/>
        <v>1</v>
      </c>
      <c r="E49">
        <f t="shared" si="48"/>
        <v>0</v>
      </c>
      <c r="F49">
        <f t="shared" si="48"/>
        <v>0</v>
      </c>
      <c r="G49">
        <f t="shared" si="48"/>
        <v>0</v>
      </c>
      <c r="H49" cm="1">
        <f t="array" ref="H49">PengRobinsonZ(A49, B49, C49, D49, E49, F49, G49)</f>
        <v>0.60294324669832822</v>
      </c>
      <c r="I49" cm="1">
        <f t="array" ref="I49">LBC_Viscosity(H49, A49, B49, C49, D49, E49, F49, G49)</f>
        <v>0.10714007285286474</v>
      </c>
    </row>
    <row r="50" spans="1:9" x14ac:dyDescent="0.35">
      <c r="A50">
        <f t="shared" si="1"/>
        <v>88</v>
      </c>
      <c r="B50">
        <f t="shared" si="2"/>
        <v>4900</v>
      </c>
      <c r="C50">
        <f t="shared" ref="C50:G50" si="49">C49</f>
        <v>0.85</v>
      </c>
      <c r="D50">
        <f t="shared" si="49"/>
        <v>1</v>
      </c>
      <c r="E50">
        <f t="shared" si="49"/>
        <v>0</v>
      </c>
      <c r="F50">
        <f t="shared" si="49"/>
        <v>0</v>
      </c>
      <c r="G50">
        <f t="shared" si="49"/>
        <v>0</v>
      </c>
      <c r="H50" cm="1">
        <f t="array" ref="H50">PengRobinsonZ(A50, B50, C50, D50, E50, F50, G50)</f>
        <v>0.61356994833698764</v>
      </c>
      <c r="I50" cm="1">
        <f t="array" ref="I50">LBC_Viscosity(H50, A50, B50, C50, D50, E50, F50, G50)</f>
        <v>0.10805288917082116</v>
      </c>
    </row>
    <row r="51" spans="1:9" x14ac:dyDescent="0.35">
      <c r="A51">
        <f t="shared" si="1"/>
        <v>88</v>
      </c>
      <c r="B51">
        <f t="shared" si="2"/>
        <v>5000</v>
      </c>
      <c r="C51">
        <f t="shared" ref="C51:G51" si="50">C50</f>
        <v>0.85</v>
      </c>
      <c r="D51">
        <f t="shared" si="50"/>
        <v>1</v>
      </c>
      <c r="E51">
        <f t="shared" si="50"/>
        <v>0</v>
      </c>
      <c r="F51">
        <f t="shared" si="50"/>
        <v>0</v>
      </c>
      <c r="G51">
        <f t="shared" si="50"/>
        <v>0</v>
      </c>
      <c r="H51" cm="1">
        <f t="array" ref="H51">PengRobinsonZ(A51, B51, C51, D51, E51, F51, G51)</f>
        <v>0.62417233687587514</v>
      </c>
      <c r="I51" cm="1">
        <f t="array" ref="I51">LBC_Viscosity(H51, A51, B51, C51, D51, E51, F51, G51)</f>
        <v>0.10895824104567681</v>
      </c>
    </row>
    <row r="52" spans="1:9" x14ac:dyDescent="0.35">
      <c r="A52">
        <f t="shared" si="1"/>
        <v>88</v>
      </c>
      <c r="B52">
        <f t="shared" si="2"/>
        <v>5100</v>
      </c>
      <c r="C52">
        <f t="shared" ref="C52:G52" si="51">C51</f>
        <v>0.85</v>
      </c>
      <c r="D52">
        <f t="shared" si="51"/>
        <v>1</v>
      </c>
      <c r="E52">
        <f t="shared" si="51"/>
        <v>0</v>
      </c>
      <c r="F52">
        <f t="shared" si="51"/>
        <v>0</v>
      </c>
      <c r="G52">
        <f t="shared" si="51"/>
        <v>0</v>
      </c>
      <c r="H52" cm="1">
        <f t="array" ref="H52">PengRobinsonZ(A52, B52, C52, D52, E52, F52, G52)</f>
        <v>0.63475095786469193</v>
      </c>
      <c r="I52" cm="1">
        <f t="array" ref="I52">LBC_Viscosity(H52, A52, B52, C52, D52, E52, F52, G52)</f>
        <v>0.10985642383338348</v>
      </c>
    </row>
    <row r="53" spans="1:9" x14ac:dyDescent="0.35">
      <c r="A53">
        <f t="shared" si="1"/>
        <v>88</v>
      </c>
      <c r="B53">
        <f t="shared" si="2"/>
        <v>5200</v>
      </c>
      <c r="C53">
        <f t="shared" ref="C53:G53" si="52">C52</f>
        <v>0.85</v>
      </c>
      <c r="D53">
        <f t="shared" si="52"/>
        <v>1</v>
      </c>
      <c r="E53">
        <f t="shared" si="52"/>
        <v>0</v>
      </c>
      <c r="F53">
        <f t="shared" si="52"/>
        <v>0</v>
      </c>
      <c r="G53">
        <f t="shared" si="52"/>
        <v>0</v>
      </c>
      <c r="H53" cm="1">
        <f t="array" ref="H53">PengRobinsonZ(A53, B53, C53, D53, E53, F53, G53)</f>
        <v>0.64530633878698151</v>
      </c>
      <c r="I53" cm="1">
        <f t="array" ref="I53">LBC_Viscosity(H53, A53, B53, C53, D53, E53, F53, G53)</f>
        <v>0.1107477137172217</v>
      </c>
    </row>
    <row r="54" spans="1:9" x14ac:dyDescent="0.35">
      <c r="A54">
        <f t="shared" si="1"/>
        <v>88</v>
      </c>
      <c r="B54">
        <f t="shared" si="2"/>
        <v>5300</v>
      </c>
      <c r="C54">
        <f t="shared" ref="C54:G54" si="53">C53</f>
        <v>0.85</v>
      </c>
      <c r="D54">
        <f t="shared" si="53"/>
        <v>1</v>
      </c>
      <c r="E54">
        <f t="shared" si="53"/>
        <v>0</v>
      </c>
      <c r="F54">
        <f t="shared" si="53"/>
        <v>0</v>
      </c>
      <c r="G54">
        <f t="shared" si="53"/>
        <v>0</v>
      </c>
      <c r="H54" cm="1">
        <f t="array" ref="H54">PengRobinsonZ(A54, B54, C54, D54, E54, F54, G54)</f>
        <v>0.65583898967662102</v>
      </c>
      <c r="I54" cm="1">
        <f t="array" ref="I54">LBC_Viscosity(H54, A54, B54, C54, D54, E54, F54, G54)</f>
        <v>0.11163236935380749</v>
      </c>
    </row>
    <row r="55" spans="1:9" x14ac:dyDescent="0.35">
      <c r="A55">
        <f t="shared" si="1"/>
        <v>88</v>
      </c>
      <c r="B55">
        <f t="shared" si="2"/>
        <v>5400</v>
      </c>
      <c r="C55">
        <f t="shared" ref="C55:G55" si="54">C54</f>
        <v>0.85</v>
      </c>
      <c r="D55">
        <f t="shared" si="54"/>
        <v>1</v>
      </c>
      <c r="E55">
        <f t="shared" si="54"/>
        <v>0</v>
      </c>
      <c r="F55">
        <f t="shared" si="54"/>
        <v>0</v>
      </c>
      <c r="G55">
        <f t="shared" si="54"/>
        <v>0</v>
      </c>
      <c r="H55" cm="1">
        <f t="array" ref="H55">PengRobinsonZ(A55, B55, C55, D55, E55, F55, G55)</f>
        <v>0.66634940373861729</v>
      </c>
      <c r="I55" cm="1">
        <f t="array" ref="I55">LBC_Viscosity(H55, A55, B55, C55, D55, E55, F55, G55)</f>
        <v>0.11251063334455982</v>
      </c>
    </row>
    <row r="56" spans="1:9" x14ac:dyDescent="0.35">
      <c r="A56">
        <f t="shared" si="1"/>
        <v>88</v>
      </c>
      <c r="B56">
        <f t="shared" si="2"/>
        <v>5500</v>
      </c>
      <c r="C56">
        <f t="shared" ref="C56:G56" si="55">C55</f>
        <v>0.85</v>
      </c>
      <c r="D56">
        <f t="shared" si="55"/>
        <v>1</v>
      </c>
      <c r="E56">
        <f t="shared" si="55"/>
        <v>0</v>
      </c>
      <c r="F56">
        <f t="shared" si="55"/>
        <v>0</v>
      </c>
      <c r="G56">
        <f t="shared" si="55"/>
        <v>0</v>
      </c>
      <c r="H56" cm="1">
        <f t="array" ref="H56">PengRobinsonZ(A56, B56, C56, D56, E56, F56, G56)</f>
        <v>0.67683805796705732</v>
      </c>
      <c r="I56" cm="1">
        <f t="array" ref="I56">LBC_Viscosity(H56, A56, B56, C56, D56, E56, F56, G56)</f>
        <v>0.11338273355454336</v>
      </c>
    </row>
    <row r="57" spans="1:9" x14ac:dyDescent="0.35">
      <c r="A57">
        <f t="shared" si="1"/>
        <v>88</v>
      </c>
      <c r="B57">
        <f t="shared" si="2"/>
        <v>5600</v>
      </c>
      <c r="C57">
        <f t="shared" ref="C57:G57" si="56">C56</f>
        <v>0.85</v>
      </c>
      <c r="D57">
        <f t="shared" si="56"/>
        <v>1</v>
      </c>
      <c r="E57">
        <f t="shared" si="56"/>
        <v>0</v>
      </c>
      <c r="F57">
        <f t="shared" si="56"/>
        <v>0</v>
      </c>
      <c r="G57">
        <f t="shared" si="56"/>
        <v>0</v>
      </c>
      <c r="H57" cm="1">
        <f t="array" ref="H57">PengRobinsonZ(A57, B57, C57, D57, E57, F57, G57)</f>
        <v>0.68730541375484555</v>
      </c>
      <c r="I57" cm="1">
        <f t="array" ref="I57">LBC_Viscosity(H57, A57, B57, C57, D57, E57, F57, G57)</f>
        <v>0.11424888429743854</v>
      </c>
    </row>
    <row r="58" spans="1:9" x14ac:dyDescent="0.35">
      <c r="A58">
        <f t="shared" si="1"/>
        <v>88</v>
      </c>
      <c r="B58">
        <f t="shared" si="2"/>
        <v>5700</v>
      </c>
      <c r="C58">
        <f t="shared" ref="C58:G58" si="57">C57</f>
        <v>0.85</v>
      </c>
      <c r="D58">
        <f t="shared" si="57"/>
        <v>1</v>
      </c>
      <c r="E58">
        <f t="shared" si="57"/>
        <v>0</v>
      </c>
      <c r="F58">
        <f t="shared" si="57"/>
        <v>0</v>
      </c>
      <c r="G58">
        <f t="shared" si="57"/>
        <v>0</v>
      </c>
      <c r="H58" cm="1">
        <f t="array" ref="H58">PengRobinsonZ(A58, B58, C58, D58, E58, F58, G58)</f>
        <v>0.69775191749126331</v>
      </c>
      <c r="I58" cm="1">
        <f t="array" ref="I58">LBC_Viscosity(H58, A58, B58, C58, D58, E58, F58, G58)</f>
        <v>0.11510928740273844</v>
      </c>
    </row>
    <row r="59" spans="1:9" x14ac:dyDescent="0.35">
      <c r="A59">
        <f t="shared" si="1"/>
        <v>88</v>
      </c>
      <c r="B59">
        <f t="shared" si="2"/>
        <v>5800</v>
      </c>
      <c r="C59">
        <f t="shared" ref="C59:G59" si="58">C58</f>
        <v>0.85</v>
      </c>
      <c r="D59">
        <f t="shared" si="58"/>
        <v>1</v>
      </c>
      <c r="E59">
        <f t="shared" si="58"/>
        <v>0</v>
      </c>
      <c r="F59">
        <f t="shared" si="58"/>
        <v>0</v>
      </c>
      <c r="G59">
        <f t="shared" si="58"/>
        <v>0</v>
      </c>
      <c r="H59" cm="1">
        <f t="array" ref="H59">PengRobinsonZ(A59, B59, C59, D59, E59, F59, G59)</f>
        <v>0.7081780011444746</v>
      </c>
      <c r="I59" cm="1">
        <f t="array" ref="I59">LBC_Viscosity(H59, A59, B59, C59, D59, E59, F59, G59)</f>
        <v>0.11596413317904739</v>
      </c>
    </row>
    <row r="60" spans="1:9" x14ac:dyDescent="0.35">
      <c r="A60">
        <f t="shared" si="1"/>
        <v>88</v>
      </c>
      <c r="B60">
        <f t="shared" si="2"/>
        <v>5900</v>
      </c>
      <c r="C60">
        <f t="shared" ref="C60:G60" si="59">C59</f>
        <v>0.85</v>
      </c>
      <c r="D60">
        <f t="shared" si="59"/>
        <v>1</v>
      </c>
      <c r="E60">
        <f t="shared" si="59"/>
        <v>0</v>
      </c>
      <c r="F60">
        <f t="shared" si="59"/>
        <v>0</v>
      </c>
      <c r="G60">
        <f t="shared" si="59"/>
        <v>0</v>
      </c>
      <c r="H60" cm="1">
        <f t="array" ref="H60">PengRobinsonZ(A60, B60, C60, D60, E60, F60, G60)</f>
        <v>0.71858408282695507</v>
      </c>
      <c r="I60" cm="1">
        <f t="array" ref="I60">LBC_Viscosity(H60, A60, B60, C60, D60, E60, F60, G60)</f>
        <v>0.1168136012854738</v>
      </c>
    </row>
    <row r="61" spans="1:9" x14ac:dyDescent="0.35">
      <c r="A61">
        <f t="shared" si="1"/>
        <v>88</v>
      </c>
      <c r="B61">
        <f t="shared" si="2"/>
        <v>6000</v>
      </c>
      <c r="C61">
        <f t="shared" ref="C61:G61" si="60">C60</f>
        <v>0.85</v>
      </c>
      <c r="D61">
        <f t="shared" si="60"/>
        <v>1</v>
      </c>
      <c r="E61">
        <f t="shared" si="60"/>
        <v>0</v>
      </c>
      <c r="F61">
        <f t="shared" si="60"/>
        <v>0</v>
      </c>
      <c r="G61">
        <f t="shared" si="60"/>
        <v>0</v>
      </c>
      <c r="H61" cm="1">
        <f t="array" ref="H61">PengRobinsonZ(A61, B61, C61, D61, E61, F61, G61)</f>
        <v>0.72897056734249033</v>
      </c>
      <c r="I61" cm="1">
        <f t="array" ref="I61">LBC_Viscosity(H61, A61, B61, C61, D61, E61, F61, G61)</f>
        <v>0.11765786152151329</v>
      </c>
    </row>
    <row r="62" spans="1:9" x14ac:dyDescent="0.35">
      <c r="A62">
        <f t="shared" si="1"/>
        <v>88</v>
      </c>
      <c r="B62">
        <f t="shared" si="2"/>
        <v>6100</v>
      </c>
      <c r="C62">
        <f t="shared" ref="C62:G62" si="61">C61</f>
        <v>0.85</v>
      </c>
      <c r="D62">
        <f t="shared" si="61"/>
        <v>1</v>
      </c>
      <c r="E62">
        <f t="shared" si="61"/>
        <v>0</v>
      </c>
      <c r="F62">
        <f t="shared" si="61"/>
        <v>0</v>
      </c>
      <c r="G62">
        <f t="shared" si="61"/>
        <v>0</v>
      </c>
      <c r="H62" cm="1">
        <f t="array" ref="H62">PengRobinsonZ(A62, B62, C62, D62, E62, F62, G62)</f>
        <v>0.73933784671389535</v>
      </c>
      <c r="I62" cm="1">
        <f t="array" ref="I62">LBC_Viscosity(H62, A62, B62, C62, D62, E62, F62, G62)</f>
        <v>0.11849707454446912</v>
      </c>
    </row>
    <row r="63" spans="1:9" x14ac:dyDescent="0.35">
      <c r="A63">
        <f t="shared" si="1"/>
        <v>88</v>
      </c>
      <c r="B63">
        <f t="shared" si="2"/>
        <v>6200</v>
      </c>
      <c r="C63">
        <f t="shared" ref="C63:G63" si="62">C62</f>
        <v>0.85</v>
      </c>
      <c r="D63">
        <f t="shared" si="62"/>
        <v>1</v>
      </c>
      <c r="E63">
        <f t="shared" si="62"/>
        <v>0</v>
      </c>
      <c r="F63">
        <f t="shared" si="62"/>
        <v>0</v>
      </c>
      <c r="G63">
        <f t="shared" si="62"/>
        <v>0</v>
      </c>
      <c r="H63" cm="1">
        <f t="array" ref="H63">PengRobinsonZ(A63, B63, C63, D63, E63, F63, G63)</f>
        <v>0.7496863006910226</v>
      </c>
      <c r="I63" cm="1">
        <f t="array" ref="I63">LBC_Viscosity(H63, A63, B63, C63, D63, E63, F63, G63)</f>
        <v>0.11933139252229456</v>
      </c>
    </row>
    <row r="64" spans="1:9" x14ac:dyDescent="0.35">
      <c r="A64">
        <f t="shared" si="1"/>
        <v>88</v>
      </c>
      <c r="B64">
        <f t="shared" si="2"/>
        <v>6300</v>
      </c>
      <c r="C64">
        <f t="shared" ref="C64:G64" si="63">C63</f>
        <v>0.85</v>
      </c>
      <c r="D64">
        <f t="shared" si="63"/>
        <v>1</v>
      </c>
      <c r="E64">
        <f t="shared" si="63"/>
        <v>0</v>
      </c>
      <c r="F64">
        <f t="shared" si="63"/>
        <v>0</v>
      </c>
      <c r="G64">
        <f t="shared" si="63"/>
        <v>0</v>
      </c>
      <c r="H64" cm="1">
        <f t="array" ref="H64">PengRobinsonZ(A64, B64, C64, D64, E64, F64, G64)</f>
        <v>0.76001629723891673</v>
      </c>
      <c r="I64" cm="1">
        <f t="array" ref="I64">LBC_Viscosity(H64, A64, B64, C64, D64, E64, F64, G64)</f>
        <v>0.12016095972875884</v>
      </c>
    </row>
    <row r="65" spans="1:9" x14ac:dyDescent="0.35">
      <c r="A65">
        <f t="shared" si="1"/>
        <v>88</v>
      </c>
      <c r="B65">
        <f t="shared" si="2"/>
        <v>6400</v>
      </c>
      <c r="C65">
        <f t="shared" ref="C65:G65" si="64">C64</f>
        <v>0.85</v>
      </c>
      <c r="D65">
        <f t="shared" si="64"/>
        <v>1</v>
      </c>
      <c r="E65">
        <f t="shared" si="64"/>
        <v>0</v>
      </c>
      <c r="F65">
        <f t="shared" si="64"/>
        <v>0</v>
      </c>
      <c r="G65">
        <f t="shared" si="64"/>
        <v>0</v>
      </c>
      <c r="H65" cm="1">
        <f t="array" ref="H65">PengRobinsonZ(A65, B65, C65, D65, E65, F65, G65)</f>
        <v>0.77032819300622379</v>
      </c>
      <c r="I65" cm="1">
        <f t="array" ref="I65">LBC_Viscosity(H65, A65, B65, C65, D65, E65, F65, G65)</f>
        <v>0.12098591308698041</v>
      </c>
    </row>
    <row r="66" spans="1:9" x14ac:dyDescent="0.35">
      <c r="A66">
        <f t="shared" si="1"/>
        <v>88</v>
      </c>
      <c r="B66">
        <f t="shared" si="2"/>
        <v>6500</v>
      </c>
      <c r="C66">
        <f t="shared" ref="C66:G66" si="65">C65</f>
        <v>0.85</v>
      </c>
      <c r="D66">
        <f t="shared" si="65"/>
        <v>1</v>
      </c>
      <c r="E66">
        <f t="shared" si="65"/>
        <v>0</v>
      </c>
      <c r="F66">
        <f t="shared" si="65"/>
        <v>0</v>
      </c>
      <c r="G66">
        <f t="shared" si="65"/>
        <v>0</v>
      </c>
      <c r="H66" cm="1">
        <f t="array" ref="H66">PengRobinsonZ(A66, B66, C66, D66, E66, F66, G66)</f>
        <v>0.78062233377412849</v>
      </c>
      <c r="I66" cm="1">
        <f t="array" ref="I66">LBC_Viscosity(H66, A66, B66, C66, D66, E66, F66, G66)</f>
        <v>0.12180638266665098</v>
      </c>
    </row>
    <row r="67" spans="1:9" x14ac:dyDescent="0.35">
      <c r="A67">
        <f t="shared" si="1"/>
        <v>88</v>
      </c>
      <c r="B67">
        <f t="shared" si="2"/>
        <v>6600</v>
      </c>
      <c r="C67">
        <f t="shared" ref="C67:G67" si="66">C66</f>
        <v>0.85</v>
      </c>
      <c r="D67">
        <f t="shared" si="66"/>
        <v>1</v>
      </c>
      <c r="E67">
        <f t="shared" si="66"/>
        <v>0</v>
      </c>
      <c r="F67">
        <f t="shared" si="66"/>
        <v>0</v>
      </c>
      <c r="G67">
        <f t="shared" si="66"/>
        <v>0</v>
      </c>
      <c r="H67" cm="1">
        <f t="array" ref="H67">PengRobinsonZ(A67, B67, C67, D67, E67, F67, G67)</f>
        <v>0.7908990548862318</v>
      </c>
      <c r="I67" cm="1">
        <f t="array" ref="I67">LBC_Viscosity(H67, A67, B67, C67, D67, E67, F67, G67)</f>
        <v>0.12262249213963272</v>
      </c>
    </row>
    <row r="68" spans="1:9" x14ac:dyDescent="0.35">
      <c r="A68">
        <f t="shared" ref="A68:A131" si="67">A67</f>
        <v>88</v>
      </c>
      <c r="B68">
        <f t="shared" ref="B68:B131" si="68">B67+100</f>
        <v>6700</v>
      </c>
      <c r="C68">
        <f t="shared" ref="C68:G68" si="69">C67</f>
        <v>0.85</v>
      </c>
      <c r="D68">
        <f t="shared" si="69"/>
        <v>1</v>
      </c>
      <c r="E68">
        <f t="shared" si="69"/>
        <v>0</v>
      </c>
      <c r="F68">
        <f t="shared" si="69"/>
        <v>0</v>
      </c>
      <c r="G68">
        <f t="shared" si="69"/>
        <v>0</v>
      </c>
      <c r="H68" cm="1">
        <f t="array" ref="H68">PengRobinsonZ(A68, B68, C68, D68, E68, F68, G68)</f>
        <v>0.80115868165987858</v>
      </c>
      <c r="I68" cm="1">
        <f t="array" ref="I68">LBC_Viscosity(H68, A68, B68, C68, D68, E68, F68, G68)</f>
        <v>0.1234343591980667</v>
      </c>
    </row>
    <row r="69" spans="1:9" x14ac:dyDescent="0.35">
      <c r="A69">
        <f t="shared" si="67"/>
        <v>88</v>
      </c>
      <c r="B69">
        <f t="shared" si="68"/>
        <v>6800</v>
      </c>
      <c r="C69">
        <f t="shared" ref="C69:G69" si="70">C68</f>
        <v>0.85</v>
      </c>
      <c r="D69">
        <f t="shared" si="70"/>
        <v>1</v>
      </c>
      <c r="E69">
        <f t="shared" si="70"/>
        <v>0</v>
      </c>
      <c r="F69">
        <f t="shared" si="70"/>
        <v>0</v>
      </c>
      <c r="G69">
        <f t="shared" si="70"/>
        <v>0</v>
      </c>
      <c r="H69" cm="1">
        <f t="array" ref="H69">PengRobinsonZ(A69, B69, C69, D69, E69, F69, G69)</f>
        <v>0.81140152977950308</v>
      </c>
      <c r="I69" cm="1">
        <f t="array" ref="I69">LBC_Viscosity(H69, A69, B69, C69, D69, E69, F69, G69)</f>
        <v>0.12424209593865979</v>
      </c>
    </row>
    <row r="70" spans="1:9" x14ac:dyDescent="0.35">
      <c r="A70">
        <f t="shared" si="67"/>
        <v>88</v>
      </c>
      <c r="B70">
        <f t="shared" si="68"/>
        <v>6900</v>
      </c>
      <c r="C70">
        <f t="shared" ref="C70:G70" si="71">C69</f>
        <v>0.85</v>
      </c>
      <c r="D70">
        <f t="shared" si="71"/>
        <v>1</v>
      </c>
      <c r="E70">
        <f t="shared" si="71"/>
        <v>0</v>
      </c>
      <c r="F70">
        <f t="shared" si="71"/>
        <v>0</v>
      </c>
      <c r="G70">
        <f t="shared" si="71"/>
        <v>0</v>
      </c>
      <c r="H70" cm="1">
        <f t="array" ref="H70">PengRobinsonZ(A70, B70, C70, D70, E70, F70, G70)</f>
        <v>0.82162790567262101</v>
      </c>
      <c r="I70" cm="1">
        <f t="array" ref="I70">LBC_Viscosity(H70, A70, B70, C70, D70, E70, F70, G70)</f>
        <v>0.12504580921639871</v>
      </c>
    </row>
    <row r="71" spans="1:9" x14ac:dyDescent="0.35">
      <c r="A71">
        <f t="shared" si="67"/>
        <v>88</v>
      </c>
      <c r="B71">
        <f t="shared" si="68"/>
        <v>7000</v>
      </c>
      <c r="C71">
        <f t="shared" ref="C71:G71" si="72">C70</f>
        <v>0.85</v>
      </c>
      <c r="D71">
        <f t="shared" si="72"/>
        <v>1</v>
      </c>
      <c r="E71">
        <f t="shared" si="72"/>
        <v>0</v>
      </c>
      <c r="F71">
        <f t="shared" si="72"/>
        <v>0</v>
      </c>
      <c r="G71">
        <f t="shared" si="72"/>
        <v>0</v>
      </c>
      <c r="H71" cm="1">
        <f t="array" ref="H71">PengRobinsonZ(A71, B71, C71, D71, E71, F71, G71)</f>
        <v>0.83183810686911053</v>
      </c>
      <c r="I71" cm="1">
        <f t="array" ref="I71">LBC_Viscosity(H71, A71, B71, C71, D71, E71, F71, G71)</f>
        <v>0.12584560097058112</v>
      </c>
    </row>
    <row r="72" spans="1:9" x14ac:dyDescent="0.35">
      <c r="A72">
        <f t="shared" si="67"/>
        <v>88</v>
      </c>
      <c r="B72">
        <f t="shared" si="68"/>
        <v>7100</v>
      </c>
      <c r="C72">
        <f t="shared" ref="C72:G72" si="73">C71</f>
        <v>0.85</v>
      </c>
      <c r="D72">
        <f t="shared" si="73"/>
        <v>1</v>
      </c>
      <c r="E72">
        <f t="shared" si="73"/>
        <v>0</v>
      </c>
      <c r="F72">
        <f t="shared" si="73"/>
        <v>0</v>
      </c>
      <c r="G72">
        <f t="shared" si="73"/>
        <v>0</v>
      </c>
      <c r="H72" cm="1">
        <f t="array" ref="H72">PengRobinsonZ(A72, B72, C72, D72, E72, F72, G72)</f>
        <v>0.84203242234444708</v>
      </c>
      <c r="I72" cm="1">
        <f t="array" ref="I72">LBC_Viscosity(H72, A72, B72, C72, D72, E72, F72, G72)</f>
        <v>0.12664156852574138</v>
      </c>
    </row>
    <row r="73" spans="1:9" x14ac:dyDescent="0.35">
      <c r="A73">
        <f t="shared" si="67"/>
        <v>88</v>
      </c>
      <c r="B73">
        <f t="shared" si="68"/>
        <v>7200</v>
      </c>
      <c r="C73">
        <f t="shared" ref="C73:G73" si="74">C72</f>
        <v>0.85</v>
      </c>
      <c r="D73">
        <f t="shared" si="74"/>
        <v>1</v>
      </c>
      <c r="E73">
        <f t="shared" si="74"/>
        <v>0</v>
      </c>
      <c r="F73">
        <f t="shared" si="74"/>
        <v>0</v>
      </c>
      <c r="G73">
        <f t="shared" si="74"/>
        <v>0</v>
      </c>
      <c r="H73" cm="1">
        <f t="array" ref="H73">PengRobinsonZ(A73, B73, C73, D73, E73, F73, G73)</f>
        <v>0.85221113284756567</v>
      </c>
      <c r="I73" cm="1">
        <f t="array" ref="I73">LBC_Viscosity(H73, A73, B73, C73, D73, E73, F73, G73)</f>
        <v>0.12743380486976347</v>
      </c>
    </row>
    <row r="74" spans="1:9" x14ac:dyDescent="0.35">
      <c r="A74">
        <f t="shared" si="67"/>
        <v>88</v>
      </c>
      <c r="B74">
        <f t="shared" si="68"/>
        <v>7300</v>
      </c>
      <c r="C74">
        <f t="shared" ref="C74:G74" si="75">C73</f>
        <v>0.85</v>
      </c>
      <c r="D74">
        <f t="shared" si="75"/>
        <v>1</v>
      </c>
      <c r="E74">
        <f t="shared" si="75"/>
        <v>0</v>
      </c>
      <c r="F74">
        <f t="shared" si="75"/>
        <v>0</v>
      </c>
      <c r="G74">
        <f t="shared" si="75"/>
        <v>0</v>
      </c>
      <c r="H74" cm="1">
        <f t="array" ref="H74">PengRobinsonZ(A74, B74, C74, D74, E74, F74, G74)</f>
        <v>0.86237451121400432</v>
      </c>
      <c r="I74" cm="1">
        <f t="array" ref="I74">LBC_Viscosity(H74, A74, B74, C74, D74, E74, F74, G74)</f>
        <v>0.12822239891124526</v>
      </c>
    </row>
    <row r="75" spans="1:9" x14ac:dyDescent="0.35">
      <c r="A75">
        <f t="shared" si="67"/>
        <v>88</v>
      </c>
      <c r="B75">
        <f t="shared" si="68"/>
        <v>7400</v>
      </c>
      <c r="C75">
        <f t="shared" ref="C75:G75" si="76">C74</f>
        <v>0.85</v>
      </c>
      <c r="D75">
        <f t="shared" si="76"/>
        <v>1</v>
      </c>
      <c r="E75">
        <f t="shared" si="76"/>
        <v>0</v>
      </c>
      <c r="F75">
        <f t="shared" si="76"/>
        <v>0</v>
      </c>
      <c r="G75">
        <f t="shared" si="76"/>
        <v>0</v>
      </c>
      <c r="H75" cm="1">
        <f t="array" ref="H75">PengRobinsonZ(A75, B75, C75, D75, E75, F75, G75)</f>
        <v>0.87252282266499614</v>
      </c>
      <c r="I75" cm="1">
        <f t="array" ref="I75">LBC_Viscosity(H75, A75, B75, C75, D75, E75, F75, G75)</f>
        <v>0.12900743571794349</v>
      </c>
    </row>
    <row r="76" spans="1:9" x14ac:dyDescent="0.35">
      <c r="A76">
        <f t="shared" si="67"/>
        <v>88</v>
      </c>
      <c r="B76">
        <f t="shared" si="68"/>
        <v>7500</v>
      </c>
      <c r="C76">
        <f t="shared" ref="C76:G76" si="77">C75</f>
        <v>0.85</v>
      </c>
      <c r="D76">
        <f t="shared" si="77"/>
        <v>1</v>
      </c>
      <c r="E76">
        <f t="shared" si="77"/>
        <v>0</v>
      </c>
      <c r="F76">
        <f t="shared" si="77"/>
        <v>0</v>
      </c>
      <c r="G76">
        <f t="shared" si="77"/>
        <v>0</v>
      </c>
      <c r="H76" cm="1">
        <f t="array" ref="H76">PengRobinsonZ(A76, B76, C76, D76, E76, F76, G76)</f>
        <v>0.88265632509313785</v>
      </c>
      <c r="I76" cm="1">
        <f t="array" ref="I76">LBC_Viscosity(H76, A76, B76, C76, D76, E76, F76, G76)</f>
        <v>0.12978899673796448</v>
      </c>
    </row>
    <row r="77" spans="1:9" x14ac:dyDescent="0.35">
      <c r="A77">
        <f t="shared" si="67"/>
        <v>88</v>
      </c>
      <c r="B77">
        <f t="shared" si="68"/>
        <v>7600</v>
      </c>
      <c r="C77">
        <f t="shared" ref="C77:G77" si="78">C76</f>
        <v>0.85</v>
      </c>
      <c r="D77">
        <f t="shared" si="78"/>
        <v>1</v>
      </c>
      <c r="E77">
        <f t="shared" si="78"/>
        <v>0</v>
      </c>
      <c r="F77">
        <f t="shared" si="78"/>
        <v>0</v>
      </c>
      <c r="G77">
        <f t="shared" si="78"/>
        <v>0</v>
      </c>
      <c r="H77" cm="1">
        <f t="array" ref="H77">PengRobinsonZ(A77, B77, C77, D77, E77, F77, G77)</f>
        <v>0.89277526933526752</v>
      </c>
      <c r="I77" cm="1">
        <f t="array" ref="I77">LBC_Viscosity(H77, A77, B77, C77, D77, E77, F77, G77)</f>
        <v>0.13056716000517732</v>
      </c>
    </row>
    <row r="78" spans="1:9" x14ac:dyDescent="0.35">
      <c r="A78">
        <f t="shared" si="67"/>
        <v>88</v>
      </c>
      <c r="B78">
        <f t="shared" si="68"/>
        <v>7700</v>
      </c>
      <c r="C78">
        <f t="shared" ref="C78:G78" si="79">C77</f>
        <v>0.85</v>
      </c>
      <c r="D78">
        <f t="shared" si="79"/>
        <v>1</v>
      </c>
      <c r="E78">
        <f t="shared" si="79"/>
        <v>0</v>
      </c>
      <c r="F78">
        <f t="shared" si="79"/>
        <v>0</v>
      </c>
      <c r="G78">
        <f t="shared" si="79"/>
        <v>0</v>
      </c>
      <c r="H78" cm="1">
        <f t="array" ref="H78">PengRobinsonZ(A78, B78, C78, D78, E78, F78, G78)</f>
        <v>0.90287989943314551</v>
      </c>
      <c r="I78" cm="1">
        <f t="array" ref="I78">LBC_Viscosity(H78, A78, B78, C78, D78, E78, F78, G78)</f>
        <v>0.13134200033019117</v>
      </c>
    </row>
    <row r="79" spans="1:9" x14ac:dyDescent="0.35">
      <c r="A79">
        <f t="shared" si="67"/>
        <v>88</v>
      </c>
      <c r="B79">
        <f t="shared" si="68"/>
        <v>7800</v>
      </c>
      <c r="C79">
        <f t="shared" ref="C79:G79" si="80">C78</f>
        <v>0.85</v>
      </c>
      <c r="D79">
        <f t="shared" si="80"/>
        <v>1</v>
      </c>
      <c r="E79">
        <f t="shared" si="80"/>
        <v>0</v>
      </c>
      <c r="F79">
        <f t="shared" si="80"/>
        <v>0</v>
      </c>
      <c r="G79">
        <f t="shared" si="80"/>
        <v>0</v>
      </c>
      <c r="H79" cm="1">
        <f t="array" ref="H79">PengRobinsonZ(A79, B79, C79, D79, E79, F79, G79)</f>
        <v>0.91297045288252709</v>
      </c>
      <c r="I79" cm="1">
        <f t="array" ref="I79">LBC_Viscosity(H79, A79, B79, C79, D79, E79, F79, G79)</f>
        <v>0.13211358947810334</v>
      </c>
    </row>
    <row r="80" spans="1:9" x14ac:dyDescent="0.35">
      <c r="A80">
        <f t="shared" si="67"/>
        <v>88</v>
      </c>
      <c r="B80">
        <f t="shared" si="68"/>
        <v>7900</v>
      </c>
      <c r="C80">
        <f t="shared" ref="C80:G80" si="81">C79</f>
        <v>0.85</v>
      </c>
      <c r="D80">
        <f t="shared" si="81"/>
        <v>1</v>
      </c>
      <c r="E80">
        <f t="shared" si="81"/>
        <v>0</v>
      </c>
      <c r="F80">
        <f t="shared" si="81"/>
        <v>0</v>
      </c>
      <c r="G80">
        <f t="shared" si="81"/>
        <v>0</v>
      </c>
      <c r="H80" cm="1">
        <f t="array" ref="H80">PengRobinsonZ(A80, B80, C80, D80, E80, F80, G80)</f>
        <v>0.92304716087117844</v>
      </c>
      <c r="I80" cm="1">
        <f t="array" ref="I80">LBC_Viscosity(H80, A80, B80, C80, D80, E80, F80, G80)</f>
        <v>0.13288199633410785</v>
      </c>
    </row>
    <row r="81" spans="1:9" x14ac:dyDescent="0.35">
      <c r="A81">
        <f t="shared" si="67"/>
        <v>88</v>
      </c>
      <c r="B81">
        <f t="shared" si="68"/>
        <v>8000</v>
      </c>
      <c r="C81">
        <f t="shared" ref="C81:G81" si="82">C80</f>
        <v>0.85</v>
      </c>
      <c r="D81">
        <f t="shared" si="82"/>
        <v>1</v>
      </c>
      <c r="E81">
        <f t="shared" si="82"/>
        <v>0</v>
      </c>
      <c r="F81">
        <f t="shared" si="82"/>
        <v>0</v>
      </c>
      <c r="G81">
        <f t="shared" si="82"/>
        <v>0</v>
      </c>
      <c r="H81" cm="1">
        <f t="array" ref="H81">PengRobinsonZ(A81, B81, C81, D81, E81, F81, G81)</f>
        <v>0.93311024850637636</v>
      </c>
      <c r="I81" cm="1">
        <f t="array" ref="I81">LBC_Viscosity(H81, A81, B81, C81, D81, E81, F81, G81)</f>
        <v>0.13364728705794934</v>
      </c>
    </row>
    <row r="82" spans="1:9" x14ac:dyDescent="0.35">
      <c r="A82">
        <f t="shared" si="67"/>
        <v>88</v>
      </c>
      <c r="B82">
        <f t="shared" si="68"/>
        <v>8100</v>
      </c>
      <c r="C82">
        <f t="shared" ref="C82:G82" si="83">C81</f>
        <v>0.85</v>
      </c>
      <c r="D82">
        <f t="shared" si="83"/>
        <v>1</v>
      </c>
      <c r="E82">
        <f t="shared" si="83"/>
        <v>0</v>
      </c>
      <c r="F82">
        <f t="shared" si="83"/>
        <v>0</v>
      </c>
      <c r="G82">
        <f t="shared" si="83"/>
        <v>0</v>
      </c>
      <c r="H82" cm="1">
        <f t="array" ref="H82">PengRobinsonZ(A82, B82, C82, D82, E82, F82, G82)</f>
        <v>0.9431599350323967</v>
      </c>
      <c r="I82" cm="1">
        <f t="array" ref="I82">LBC_Viscosity(H82, A82, B82, C82, D82, E82, F82, G82)</f>
        <v>0.1344095252281208</v>
      </c>
    </row>
    <row r="83" spans="1:9" x14ac:dyDescent="0.35">
      <c r="A83">
        <f t="shared" si="67"/>
        <v>88</v>
      </c>
      <c r="B83">
        <f t="shared" si="68"/>
        <v>8200</v>
      </c>
      <c r="C83">
        <f t="shared" ref="C83:G83" si="84">C82</f>
        <v>0.85</v>
      </c>
      <c r="D83">
        <f t="shared" si="84"/>
        <v>1</v>
      </c>
      <c r="E83">
        <f t="shared" si="84"/>
        <v>0</v>
      </c>
      <c r="F83">
        <f t="shared" si="84"/>
        <v>0</v>
      </c>
      <c r="G83">
        <f t="shared" si="84"/>
        <v>0</v>
      </c>
      <c r="H83" cm="1">
        <f t="array" ref="H83">PengRobinsonZ(A83, B83, C83, D83, E83, F83, G83)</f>
        <v>0.95319643403848919</v>
      </c>
      <c r="I83" cm="1">
        <f t="array" ref="I83">LBC_Viscosity(H83, A83, B83, C83, D83, E83, F83, G83)</f>
        <v>0.13516877197660726</v>
      </c>
    </row>
    <row r="84" spans="1:9" x14ac:dyDescent="0.35">
      <c r="A84">
        <f t="shared" si="67"/>
        <v>88</v>
      </c>
      <c r="B84">
        <f t="shared" si="68"/>
        <v>8300</v>
      </c>
      <c r="C84">
        <f t="shared" ref="C84:G84" si="85">C83</f>
        <v>0.85</v>
      </c>
      <c r="D84">
        <f t="shared" si="85"/>
        <v>1</v>
      </c>
      <c r="E84">
        <f t="shared" si="85"/>
        <v>0</v>
      </c>
      <c r="F84">
        <f t="shared" si="85"/>
        <v>0</v>
      </c>
      <c r="G84">
        <f t="shared" si="85"/>
        <v>0</v>
      </c>
      <c r="H84" cm="1">
        <f t="array" ref="H84">PengRobinsonZ(A84, B84, C84, D84, E84, F84, G84)</f>
        <v>0.96321995365779545</v>
      </c>
      <c r="I84" cm="1">
        <f t="array" ref="I84">LBC_Viscosity(H84, A84, B84, C84, D84, E84, F84, G84)</f>
        <v>0.13592508611492293</v>
      </c>
    </row>
    <row r="85" spans="1:9" x14ac:dyDescent="0.35">
      <c r="A85">
        <f t="shared" si="67"/>
        <v>88</v>
      </c>
      <c r="B85">
        <f t="shared" si="68"/>
        <v>8400</v>
      </c>
      <c r="C85">
        <f t="shared" ref="C85:G85" si="86">C84</f>
        <v>0.85</v>
      </c>
      <c r="D85">
        <f t="shared" si="86"/>
        <v>1</v>
      </c>
      <c r="E85">
        <f t="shared" si="86"/>
        <v>0</v>
      </c>
      <c r="F85">
        <f t="shared" si="86"/>
        <v>0</v>
      </c>
      <c r="G85">
        <f t="shared" si="86"/>
        <v>0</v>
      </c>
      <c r="H85" cm="1">
        <f t="array" ref="H85">PengRobinsonZ(A85, B85, C85, D85, E85, F85, G85)</f>
        <v>0.97323069675765783</v>
      </c>
      <c r="I85" cm="1">
        <f t="array" ref="I85">LBC_Viscosity(H85, A85, B85, C85, D85, E85, F85, G85)</f>
        <v>0.13667852425210253</v>
      </c>
    </row>
    <row r="86" spans="1:9" x14ac:dyDescent="0.35">
      <c r="A86">
        <f t="shared" si="67"/>
        <v>88</v>
      </c>
      <c r="B86">
        <f t="shared" si="68"/>
        <v>8500</v>
      </c>
      <c r="C86">
        <f t="shared" ref="C86:G86" si="87">C85</f>
        <v>0.85</v>
      </c>
      <c r="D86">
        <f t="shared" si="87"/>
        <v>1</v>
      </c>
      <c r="E86">
        <f t="shared" si="87"/>
        <v>0</v>
      </c>
      <c r="F86">
        <f t="shared" si="87"/>
        <v>0</v>
      </c>
      <c r="G86">
        <f t="shared" si="87"/>
        <v>0</v>
      </c>
      <c r="H86" cm="1">
        <f t="array" ref="H86">PengRobinsonZ(A86, B86, C86, D86, E86, F86, G86)</f>
        <v>0.98322886112174057</v>
      </c>
      <c r="I86" cm="1">
        <f t="array" ref="I86">LBC_Viscosity(H86, A86, B86, C86, D86, E86, F86, G86)</f>
        <v>0.13742914090526356</v>
      </c>
    </row>
    <row r="87" spans="1:9" x14ac:dyDescent="0.35">
      <c r="A87">
        <f t="shared" si="67"/>
        <v>88</v>
      </c>
      <c r="B87">
        <f t="shared" si="68"/>
        <v>8600</v>
      </c>
      <c r="C87">
        <f t="shared" ref="C87:G87" si="88">C86</f>
        <v>0.85</v>
      </c>
      <c r="D87">
        <f t="shared" si="88"/>
        <v>1</v>
      </c>
      <c r="E87">
        <f t="shared" si="88"/>
        <v>0</v>
      </c>
      <c r="F87">
        <f t="shared" si="88"/>
        <v>0</v>
      </c>
      <c r="G87">
        <f t="shared" si="88"/>
        <v>0</v>
      </c>
      <c r="H87" cm="1">
        <f t="array" ref="H87">PengRobinsonZ(A87, B87, C87, D87, E87, F87, G87)</f>
        <v>0.99321463962436451</v>
      </c>
      <c r="I87" cm="1">
        <f t="array" ref="I87">LBC_Viscosity(H87, A87, B87, C87, D87, E87, F87, G87)</f>
        <v>0.13817698860329305</v>
      </c>
    </row>
    <row r="88" spans="1:9" x14ac:dyDescent="0.35">
      <c r="A88">
        <f t="shared" si="67"/>
        <v>88</v>
      </c>
      <c r="B88">
        <f t="shared" si="68"/>
        <v>8700</v>
      </c>
      <c r="C88">
        <f t="shared" ref="C88:G88" si="89">C87</f>
        <v>0.85</v>
      </c>
      <c r="D88">
        <f t="shared" si="89"/>
        <v>1</v>
      </c>
      <c r="E88">
        <f t="shared" si="89"/>
        <v>0</v>
      </c>
      <c r="F88">
        <f t="shared" si="89"/>
        <v>0</v>
      </c>
      <c r="G88">
        <f t="shared" si="89"/>
        <v>0</v>
      </c>
      <c r="H88" cm="1">
        <f t="array" ref="H88">PengRobinsonZ(A88, B88, C88, D88, E88, F88, G88)</f>
        <v>1.0031882203974325</v>
      </c>
      <c r="I88" cm="1">
        <f t="array" ref="I88">LBC_Viscosity(H88, A88, B88, C88, D88, E88, F88, G88)</f>
        <v>0.13892211798417026</v>
      </c>
    </row>
    <row r="89" spans="1:9" x14ac:dyDescent="0.35">
      <c r="A89">
        <f t="shared" si="67"/>
        <v>88</v>
      </c>
      <c r="B89">
        <f t="shared" si="68"/>
        <v>8800</v>
      </c>
      <c r="C89">
        <f t="shared" ref="C89:G89" si="90">C88</f>
        <v>0.85</v>
      </c>
      <c r="D89">
        <f t="shared" si="90"/>
        <v>1</v>
      </c>
      <c r="E89">
        <f t="shared" si="90"/>
        <v>0</v>
      </c>
      <c r="F89">
        <f t="shared" si="90"/>
        <v>0</v>
      </c>
      <c r="G89">
        <f t="shared" si="90"/>
        <v>0</v>
      </c>
      <c r="H89" cm="1">
        <f t="array" ref="H89">PengRobinsonZ(A89, B89, C89, D89, E89, F89, G89)</f>
        <v>1.0131497869903103</v>
      </c>
      <c r="I89" cm="1">
        <f t="array" ref="I89">LBC_Viscosity(H89, A89, B89, C89, D89, E89, F89, G89)</f>
        <v>0.13966457788638775</v>
      </c>
    </row>
    <row r="90" spans="1:9" x14ac:dyDescent="0.35">
      <c r="A90">
        <f t="shared" si="67"/>
        <v>88</v>
      </c>
      <c r="B90">
        <f t="shared" si="68"/>
        <v>8900</v>
      </c>
      <c r="C90">
        <f t="shared" ref="C90:G90" si="91">C89</f>
        <v>0.85</v>
      </c>
      <c r="D90">
        <f t="shared" si="91"/>
        <v>1</v>
      </c>
      <c r="E90">
        <f t="shared" si="91"/>
        <v>0</v>
      </c>
      <c r="F90">
        <f t="shared" si="91"/>
        <v>0</v>
      </c>
      <c r="G90">
        <f t="shared" si="91"/>
        <v>0</v>
      </c>
      <c r="H90" cm="1">
        <f t="array" ref="H90">PengRobinsonZ(A90, B90, C90, D90, E90, F90, G90)</f>
        <v>1.0230995185230041</v>
      </c>
      <c r="I90" cm="1">
        <f t="array" ref="I90">LBC_Viscosity(H90, A90, B90, C90, D90, E90, F90, G90)</f>
        <v>0.1404044154348979</v>
      </c>
    </row>
    <row r="91" spans="1:9" x14ac:dyDescent="0.35">
      <c r="A91">
        <f t="shared" si="67"/>
        <v>88</v>
      </c>
      <c r="B91">
        <f t="shared" si="68"/>
        <v>9000</v>
      </c>
      <c r="C91">
        <f t="shared" ref="C91:G91" si="92">C90</f>
        <v>0.85</v>
      </c>
      <c r="D91">
        <f t="shared" si="92"/>
        <v>1</v>
      </c>
      <c r="E91">
        <f t="shared" si="92"/>
        <v>0</v>
      </c>
      <c r="F91">
        <f t="shared" si="92"/>
        <v>0</v>
      </c>
      <c r="G91">
        <f t="shared" si="92"/>
        <v>0</v>
      </c>
      <c r="H91" cm="1">
        <f t="array" ref="H91">PengRobinsonZ(A91, B91, C91, D91, E91, F91, G91)</f>
        <v>1.03303758983296</v>
      </c>
      <c r="I91" cm="1">
        <f t="array" ref="I91">LBC_Viscosity(H91, A91, B91, C91, D91, E91, F91, G91)</f>
        <v>0.14114167612197545</v>
      </c>
    </row>
    <row r="92" spans="1:9" x14ac:dyDescent="0.35">
      <c r="A92">
        <f t="shared" si="67"/>
        <v>88</v>
      </c>
      <c r="B92">
        <f t="shared" si="68"/>
        <v>9100</v>
      </c>
      <c r="C92">
        <f t="shared" ref="C92:G92" si="93">C91</f>
        <v>0.85</v>
      </c>
      <c r="D92">
        <f t="shared" si="93"/>
        <v>1</v>
      </c>
      <c r="E92">
        <f t="shared" si="93"/>
        <v>0</v>
      </c>
      <c r="F92">
        <f t="shared" si="93"/>
        <v>0</v>
      </c>
      <c r="G92">
        <f t="shared" si="93"/>
        <v>0</v>
      </c>
      <c r="H92" cm="1">
        <f t="array" ref="H92">PengRobinsonZ(A92, B92, C92, D92, E92, F92, G92)</f>
        <v>1.0429641716157929</v>
      </c>
      <c r="I92" cm="1">
        <f t="array" ref="I92">LBC_Viscosity(H92, A92, B92, C92, D92, E92, F92, G92)</f>
        <v>0.1418764038833534</v>
      </c>
    </row>
    <row r="93" spans="1:9" x14ac:dyDescent="0.35">
      <c r="A93">
        <f t="shared" si="67"/>
        <v>88</v>
      </c>
      <c r="B93">
        <f t="shared" si="68"/>
        <v>9200</v>
      </c>
      <c r="C93">
        <f t="shared" ref="C93:G93" si="94">C92</f>
        <v>0.85</v>
      </c>
      <c r="D93">
        <f t="shared" si="94"/>
        <v>1</v>
      </c>
      <c r="E93">
        <f t="shared" si="94"/>
        <v>0</v>
      </c>
      <c r="F93">
        <f t="shared" si="94"/>
        <v>0</v>
      </c>
      <c r="G93">
        <f t="shared" si="94"/>
        <v>0</v>
      </c>
      <c r="H93" cm="1">
        <f t="array" ref="H93">PengRobinsonZ(A93, B93, C93, D93, E93, F93, G93)</f>
        <v>1.0528794305602358</v>
      </c>
      <c r="I93" cm="1">
        <f t="array" ref="I93">LBC_Viscosity(H93, A93, B93, C93, D93, E93, F93, G93)</f>
        <v>0.14260864116996189</v>
      </c>
    </row>
    <row r="94" spans="1:9" x14ac:dyDescent="0.35">
      <c r="A94">
        <f t="shared" si="67"/>
        <v>88</v>
      </c>
      <c r="B94">
        <f t="shared" si="68"/>
        <v>9300</v>
      </c>
      <c r="C94">
        <f t="shared" ref="C94:G94" si="95">C93</f>
        <v>0.85</v>
      </c>
      <c r="D94">
        <f t="shared" si="95"/>
        <v>1</v>
      </c>
      <c r="E94">
        <f t="shared" si="95"/>
        <v>0</v>
      </c>
      <c r="F94">
        <f t="shared" si="95"/>
        <v>0</v>
      </c>
      <c r="G94">
        <f t="shared" si="95"/>
        <v>0</v>
      </c>
      <c r="H94" cm="1">
        <f t="array" ref="H94">PengRobinsonZ(A94, B94, C94, D94, E94, F94, G94)</f>
        <v>1.0627835294775887</v>
      </c>
      <c r="I94" cm="1">
        <f t="array" ref="I94">LBC_Viscosity(H94, A94, B94, C94, D94, E94, F94, G94)</f>
        <v>0.14333842901557101</v>
      </c>
    </row>
    <row r="95" spans="1:9" x14ac:dyDescent="0.35">
      <c r="A95">
        <f t="shared" si="67"/>
        <v>88</v>
      </c>
      <c r="B95">
        <f t="shared" si="68"/>
        <v>9400</v>
      </c>
      <c r="C95">
        <f t="shared" ref="C95:G95" si="96">C94</f>
        <v>0.85</v>
      </c>
      <c r="D95">
        <f t="shared" si="96"/>
        <v>1</v>
      </c>
      <c r="E95">
        <f t="shared" si="96"/>
        <v>0</v>
      </c>
      <c r="F95">
        <f t="shared" si="96"/>
        <v>0</v>
      </c>
      <c r="G95">
        <f t="shared" si="96"/>
        <v>0</v>
      </c>
      <c r="H95" cm="1">
        <f t="array" ref="H95">PengRobinsonZ(A95, B95, C95, D95, E95, F95, G95)</f>
        <v>1.0726766274259307</v>
      </c>
      <c r="I95" cm="1">
        <f t="array" ref="I95">LBC_Viscosity(H95, A95, B95, C95, D95, E95, F95, G95)</f>
        <v>0.14406580710061598</v>
      </c>
    </row>
    <row r="96" spans="1:9" x14ac:dyDescent="0.35">
      <c r="A96">
        <f t="shared" si="67"/>
        <v>88</v>
      </c>
      <c r="B96">
        <f t="shared" si="68"/>
        <v>9500</v>
      </c>
      <c r="C96">
        <f t="shared" ref="C96:G96" si="97">C95</f>
        <v>0.85</v>
      </c>
      <c r="D96">
        <f t="shared" si="97"/>
        <v>1</v>
      </c>
      <c r="E96">
        <f t="shared" si="97"/>
        <v>0</v>
      </c>
      <c r="F96">
        <f t="shared" si="97"/>
        <v>0</v>
      </c>
      <c r="G96">
        <f t="shared" si="97"/>
        <v>0</v>
      </c>
      <c r="H96" cm="1">
        <f t="array" ref="H96">PengRobinsonZ(A96, B96, C96, D96, E96, F96, G96)</f>
        <v>1.0825588798293342</v>
      </c>
      <c r="I96" cm="1">
        <f t="array" ref="I96">LBC_Viscosity(H96, A96, B96, C96, D96, E96, F96, G96)</f>
        <v>0.14479081381246578</v>
      </c>
    </row>
    <row r="97" spans="1:9" x14ac:dyDescent="0.35">
      <c r="A97">
        <f t="shared" si="67"/>
        <v>88</v>
      </c>
      <c r="B97">
        <f t="shared" si="68"/>
        <v>9600</v>
      </c>
      <c r="C97">
        <f t="shared" ref="C97:G97" si="98">C96</f>
        <v>0.85</v>
      </c>
      <c r="D97">
        <f t="shared" si="98"/>
        <v>1</v>
      </c>
      <c r="E97">
        <f t="shared" si="98"/>
        <v>0</v>
      </c>
      <c r="F97">
        <f t="shared" si="98"/>
        <v>0</v>
      </c>
      <c r="G97">
        <f t="shared" si="98"/>
        <v>0</v>
      </c>
      <c r="H97" cm="1">
        <f t="array" ref="H97">PengRobinsonZ(A97, B97, C97, D97, E97, F97, G97)</f>
        <v>1.0924304385923314</v>
      </c>
      <c r="I97" cm="1">
        <f t="array" ref="I97">LBC_Viscosity(H97, A97, B97, C97, D97, E97, F97, G97)</f>
        <v>0.14551348630236141</v>
      </c>
    </row>
    <row r="98" spans="1:9" x14ac:dyDescent="0.35">
      <c r="A98">
        <f t="shared" si="67"/>
        <v>88</v>
      </c>
      <c r="B98">
        <f t="shared" si="68"/>
        <v>9700</v>
      </c>
      <c r="C98">
        <f t="shared" ref="C98:G98" si="99">C97</f>
        <v>0.85</v>
      </c>
      <c r="D98">
        <f t="shared" si="99"/>
        <v>1</v>
      </c>
      <c r="E98">
        <f t="shared" si="99"/>
        <v>0</v>
      </c>
      <c r="F98">
        <f t="shared" si="99"/>
        <v>0</v>
      </c>
      <c r="G98">
        <f t="shared" si="99"/>
        <v>0</v>
      </c>
      <c r="H98" cm="1">
        <f t="array" ref="H98">PengRobinsonZ(A98, B98, C98, D98, E98, F98, G98)</f>
        <v>1.1022914522098441</v>
      </c>
      <c r="I98" cm="1">
        <f t="array" ref="I98">LBC_Viscosity(H98, A98, B98, C98, D98, E98, F98, G98)</f>
        <v>0.14623386053925452</v>
      </c>
    </row>
    <row r="99" spans="1:9" x14ac:dyDescent="0.35">
      <c r="A99">
        <f t="shared" si="67"/>
        <v>88</v>
      </c>
      <c r="B99">
        <f t="shared" si="68"/>
        <v>9800</v>
      </c>
      <c r="C99">
        <f t="shared" ref="C99:G99" si="100">C98</f>
        <v>0.85</v>
      </c>
      <c r="D99">
        <f t="shared" si="100"/>
        <v>1</v>
      </c>
      <c r="E99">
        <f t="shared" si="100"/>
        <v>0</v>
      </c>
      <c r="F99">
        <f t="shared" si="100"/>
        <v>0</v>
      </c>
      <c r="G99">
        <f t="shared" si="100"/>
        <v>0</v>
      </c>
      <c r="H99" cm="1">
        <f t="array" ref="H99">PengRobinsonZ(A99, B99, C99, D99, E99, F99, G99)</f>
        <v>1.1121420658727943</v>
      </c>
      <c r="I99" cm="1">
        <f t="array" ref="I99">LBC_Viscosity(H99, A99, B99, C99, D99, E99, F99, G99)</f>
        <v>0.14695197136073729</v>
      </c>
    </row>
    <row r="100" spans="1:9" x14ac:dyDescent="0.35">
      <c r="A100">
        <f t="shared" si="67"/>
        <v>88</v>
      </c>
      <c r="B100">
        <f t="shared" si="68"/>
        <v>9900</v>
      </c>
      <c r="C100">
        <f t="shared" ref="C100:G100" si="101">C99</f>
        <v>0.85</v>
      </c>
      <c r="D100">
        <f t="shared" si="101"/>
        <v>1</v>
      </c>
      <c r="E100">
        <f t="shared" si="101"/>
        <v>0</v>
      </c>
      <c r="F100">
        <f t="shared" si="101"/>
        <v>0</v>
      </c>
      <c r="G100">
        <f t="shared" si="101"/>
        <v>0</v>
      </c>
      <c r="H100" cm="1">
        <f t="array" ref="H100">PengRobinsonZ(A100, B100, C100, D100, E100, F100, G100)</f>
        <v>1.1219824215695953</v>
      </c>
      <c r="I100" cm="1">
        <f t="array" ref="I100">LBC_Viscosity(H100, A100, B100, C100, D100, E100, F100, G100)</f>
        <v>0.14766785252125803</v>
      </c>
    </row>
    <row r="101" spans="1:9" x14ac:dyDescent="0.35">
      <c r="A101">
        <f t="shared" si="67"/>
        <v>88</v>
      </c>
      <c r="B101">
        <f t="shared" si="68"/>
        <v>10000</v>
      </c>
      <c r="C101">
        <f t="shared" ref="C101:G101" si="102">C100</f>
        <v>0.85</v>
      </c>
      <c r="D101">
        <f t="shared" si="102"/>
        <v>1</v>
      </c>
      <c r="E101">
        <f t="shared" si="102"/>
        <v>0</v>
      </c>
      <c r="F101">
        <f t="shared" si="102"/>
        <v>0</v>
      </c>
      <c r="G101">
        <f t="shared" si="102"/>
        <v>0</v>
      </c>
      <c r="H101" cm="1">
        <f t="array" ref="H101">PengRobinsonZ(A101, B101, C101, D101, E101, F101, G101)</f>
        <v>1.1318126581837116</v>
      </c>
      <c r="I101" cm="1">
        <f t="array" ref="I101">LBC_Viscosity(H101, A101, B101, C101, D101, E101, F101, G101)</f>
        <v>0.1483815367377892</v>
      </c>
    </row>
    <row r="102" spans="1:9" x14ac:dyDescent="0.35">
      <c r="A102">
        <f t="shared" si="67"/>
        <v>88</v>
      </c>
      <c r="B102">
        <f t="shared" si="68"/>
        <v>10100</v>
      </c>
      <c r="C102">
        <f t="shared" ref="C102:G102" si="103">C101</f>
        <v>0.85</v>
      </c>
      <c r="D102">
        <f t="shared" si="103"/>
        <v>1</v>
      </c>
      <c r="E102">
        <f t="shared" si="103"/>
        <v>0</v>
      </c>
      <c r="F102">
        <f t="shared" si="103"/>
        <v>0</v>
      </c>
      <c r="G102">
        <f t="shared" si="103"/>
        <v>0</v>
      </c>
      <c r="H102" cm="1">
        <f t="array" ref="H102">PengRobinsonZ(A102, B102, C102, D102, E102, F102, G102)</f>
        <v>1.1416329115874708</v>
      </c>
      <c r="I102" cm="1">
        <f t="array" ref="I102">LBC_Viscosity(H102, A102, B102, C102, D102, E102, F102, G102)</f>
        <v>0.14909305573311138</v>
      </c>
    </row>
    <row r="103" spans="1:9" x14ac:dyDescent="0.35">
      <c r="A103">
        <f t="shared" si="67"/>
        <v>88</v>
      </c>
      <c r="B103">
        <f t="shared" si="68"/>
        <v>10200</v>
      </c>
      <c r="C103">
        <f t="shared" ref="C103:G103" si="104">C102</f>
        <v>0.85</v>
      </c>
      <c r="D103">
        <f t="shared" si="104"/>
        <v>1</v>
      </c>
      <c r="E103">
        <f t="shared" si="104"/>
        <v>0</v>
      </c>
      <c r="F103">
        <f t="shared" si="104"/>
        <v>0</v>
      </c>
      <c r="G103">
        <f t="shared" si="104"/>
        <v>0</v>
      </c>
      <c r="H103" cm="1">
        <f t="array" ref="H103">PengRobinsonZ(A103, B103, C103, D103, E103, F103, G103)</f>
        <v>1.151443314732296</v>
      </c>
      <c r="I103" cm="1">
        <f t="array" ref="I103">LBC_Viscosity(H103, A103, B103, C103, D103, E103, F103, G103)</f>
        <v>0.14980244027686138</v>
      </c>
    </row>
    <row r="104" spans="1:9" x14ac:dyDescent="0.35">
      <c r="A104">
        <f t="shared" si="67"/>
        <v>88</v>
      </c>
      <c r="B104">
        <f t="shared" si="68"/>
        <v>10300</v>
      </c>
      <c r="C104">
        <f t="shared" ref="C104:G104" si="105">C103</f>
        <v>0.85</v>
      </c>
      <c r="D104">
        <f t="shared" si="105"/>
        <v>1</v>
      </c>
      <c r="E104">
        <f t="shared" si="105"/>
        <v>0</v>
      </c>
      <c r="F104">
        <f t="shared" si="105"/>
        <v>0</v>
      </c>
      <c r="G104">
        <f t="shared" si="105"/>
        <v>0</v>
      </c>
      <c r="H104" cm="1">
        <f t="array" ref="H104">PengRobinsonZ(A104, B104, C104, D104, E104, F104, G104)</f>
        <v>1.1612439977355198</v>
      </c>
      <c r="I104" cm="1">
        <f t="array" ref="I104">LBC_Viscosity(H104, A104, B104, C104, D104, E104, F104, G104)</f>
        <v>0.15050972022448092</v>
      </c>
    </row>
    <row r="105" spans="1:9" x14ac:dyDescent="0.35">
      <c r="A105">
        <f t="shared" si="67"/>
        <v>88</v>
      </c>
      <c r="B105">
        <f t="shared" si="68"/>
        <v>10400</v>
      </c>
      <c r="C105">
        <f t="shared" ref="C105:G105" si="106">C104</f>
        <v>0.85</v>
      </c>
      <c r="D105">
        <f t="shared" si="106"/>
        <v>1</v>
      </c>
      <c r="E105">
        <f t="shared" si="106"/>
        <v>0</v>
      </c>
      <c r="F105">
        <f t="shared" si="106"/>
        <v>0</v>
      </c>
      <c r="G105">
        <f t="shared" si="106"/>
        <v>0</v>
      </c>
      <c r="H105" cm="1">
        <f t="array" ref="H105">PengRobinsonZ(A105, B105, C105, D105, E105, F105, G105)</f>
        <v>1.1710350879639413</v>
      </c>
      <c r="I105" cm="1">
        <f t="array" ref="I105">LBC_Viscosity(H105, A105, B105, C105, D105, E105, F105, G105)</f>
        <v>0.15121492455418983</v>
      </c>
    </row>
    <row r="106" spans="1:9" x14ac:dyDescent="0.35">
      <c r="A106">
        <f t="shared" si="67"/>
        <v>88</v>
      </c>
      <c r="B106">
        <f t="shared" si="68"/>
        <v>10500</v>
      </c>
      <c r="C106">
        <f t="shared" ref="C106:G106" si="107">C105</f>
        <v>0.85</v>
      </c>
      <c r="D106">
        <f t="shared" si="107"/>
        <v>1</v>
      </c>
      <c r="E106">
        <f t="shared" si="107"/>
        <v>0</v>
      </c>
      <c r="F106">
        <f t="shared" si="107"/>
        <v>0</v>
      </c>
      <c r="G106">
        <f t="shared" si="107"/>
        <v>0</v>
      </c>
      <c r="H106" cm="1">
        <f t="array" ref="H106">PengRobinsonZ(A106, B106, C106, D106, E106, F106, G106)</f>
        <v>1.1808167101142595</v>
      </c>
      <c r="I106" cm="1">
        <f t="array" ref="I106">LBC_Viscosity(H106, A106, B106, C106, D106, E106, F106, G106)</f>
        <v>0.15191808140211466</v>
      </c>
    </row>
    <row r="107" spans="1:9" x14ac:dyDescent="0.35">
      <c r="A107">
        <f t="shared" si="67"/>
        <v>88</v>
      </c>
      <c r="B107">
        <f t="shared" si="68"/>
        <v>10600</v>
      </c>
      <c r="C107">
        <f t="shared" ref="C107:G107" si="108">C106</f>
        <v>0.85</v>
      </c>
      <c r="D107">
        <f t="shared" si="108"/>
        <v>1</v>
      </c>
      <c r="E107">
        <f t="shared" si="108"/>
        <v>0</v>
      </c>
      <c r="F107">
        <f t="shared" si="108"/>
        <v>0</v>
      </c>
      <c r="G107">
        <f t="shared" si="108"/>
        <v>0</v>
      </c>
      <c r="H107" cm="1">
        <f t="array" ref="H107">PengRobinsonZ(A107, B107, C107, D107, E107, F107, G107)</f>
        <v>1.1905889862905337</v>
      </c>
      <c r="I107" cm="1">
        <f t="array" ref="I107">LBC_Viscosity(H107, A107, B107, C107, D107, E107, F107, G107)</f>
        <v>0.15261921809566781</v>
      </c>
    </row>
    <row r="108" spans="1:9" x14ac:dyDescent="0.35">
      <c r="A108">
        <f t="shared" si="67"/>
        <v>88</v>
      </c>
      <c r="B108">
        <f t="shared" si="68"/>
        <v>10700</v>
      </c>
      <c r="C108">
        <f t="shared" ref="C108:G108" si="109">C107</f>
        <v>0.85</v>
      </c>
      <c r="D108">
        <f t="shared" si="109"/>
        <v>1</v>
      </c>
      <c r="E108">
        <f t="shared" si="109"/>
        <v>0</v>
      </c>
      <c r="F108">
        <f t="shared" si="109"/>
        <v>0</v>
      </c>
      <c r="G108">
        <f t="shared" si="109"/>
        <v>0</v>
      </c>
      <c r="H108" cm="1">
        <f t="array" ref="H108">PengRobinsonZ(A108, B108, C108, D108, E108, F108, G108)</f>
        <v>1.2003520360787954</v>
      </c>
      <c r="I108" cm="1">
        <f t="array" ref="I108">LBC_Viscosity(H108, A108, B108, C108, D108, E108, F108, G108)</f>
        <v>0.15331836118529152</v>
      </c>
    </row>
    <row r="109" spans="1:9" x14ac:dyDescent="0.35">
      <c r="A109">
        <f t="shared" si="67"/>
        <v>88</v>
      </c>
      <c r="B109">
        <f t="shared" si="68"/>
        <v>10800</v>
      </c>
      <c r="C109">
        <f t="shared" ref="C109:G109" si="110">C108</f>
        <v>0.85</v>
      </c>
      <c r="D109">
        <f t="shared" si="110"/>
        <v>1</v>
      </c>
      <c r="E109">
        <f t="shared" si="110"/>
        <v>0</v>
      </c>
      <c r="F109">
        <f t="shared" si="110"/>
        <v>0</v>
      </c>
      <c r="G109">
        <f t="shared" si="110"/>
        <v>0</v>
      </c>
      <c r="H109" cm="1">
        <f t="array" ref="H109">PengRobinsonZ(A109, B109, C109, D109, E109, F109, G109)</f>
        <v>1.210105976618937</v>
      </c>
      <c r="I109" cm="1">
        <f t="array" ref="I109">LBC_Viscosity(H109, A109, B109, C109, D109, E109, F109, G109)</f>
        <v>0.15401553647465716</v>
      </c>
    </row>
    <row r="110" spans="1:9" x14ac:dyDescent="0.35">
      <c r="A110">
        <f t="shared" si="67"/>
        <v>88</v>
      </c>
      <c r="B110">
        <f t="shared" si="68"/>
        <v>10900</v>
      </c>
      <c r="C110">
        <f t="shared" ref="C110:G110" si="111">C109</f>
        <v>0.85</v>
      </c>
      <c r="D110">
        <f t="shared" si="111"/>
        <v>1</v>
      </c>
      <c r="E110">
        <f t="shared" si="111"/>
        <v>0</v>
      </c>
      <c r="F110">
        <f t="shared" si="111"/>
        <v>0</v>
      </c>
      <c r="G110">
        <f t="shared" si="111"/>
        <v>0</v>
      </c>
      <c r="H110" cm="1">
        <f t="array" ref="H110">PengRobinsonZ(A110, B110, C110, D110, E110, F110, G110)</f>
        <v>1.2198509226740031</v>
      </c>
      <c r="I110" cm="1">
        <f t="array" ref="I110">LBC_Viscosity(H110, A110, B110, C110, D110, E110, F110, G110)</f>
        <v>0.1547107690494097</v>
      </c>
    </row>
    <row r="111" spans="1:9" x14ac:dyDescent="0.35">
      <c r="A111">
        <f t="shared" si="67"/>
        <v>88</v>
      </c>
      <c r="B111">
        <f t="shared" si="68"/>
        <v>11000</v>
      </c>
      <c r="C111">
        <f t="shared" ref="C111:G111" si="112">C110</f>
        <v>0.85</v>
      </c>
      <c r="D111">
        <f t="shared" si="112"/>
        <v>1</v>
      </c>
      <c r="E111">
        <f t="shared" si="112"/>
        <v>0</v>
      </c>
      <c r="F111">
        <f t="shared" si="112"/>
        <v>0</v>
      </c>
      <c r="G111">
        <f t="shared" si="112"/>
        <v>0</v>
      </c>
      <c r="H111" cm="1">
        <f t="array" ref="H111">PengRobinsonZ(A111, B111, C111, D111, E111, F111, G111)</f>
        <v>1.2295869866969864</v>
      </c>
      <c r="I111" cm="1">
        <f t="array" ref="I111">LBC_Viscosity(H111, A111, B111, C111, D111, E111, F111, G111)</f>
        <v>0.15540408330454328</v>
      </c>
    </row>
    <row r="112" spans="1:9" x14ac:dyDescent="0.35">
      <c r="A112">
        <f t="shared" si="67"/>
        <v>88</v>
      </c>
      <c r="B112">
        <f t="shared" si="68"/>
        <v>11100</v>
      </c>
      <c r="C112">
        <f t="shared" ref="C112:G112" si="113">C111</f>
        <v>0.85</v>
      </c>
      <c r="D112">
        <f t="shared" si="113"/>
        <v>1</v>
      </c>
      <c r="E112">
        <f t="shared" si="113"/>
        <v>0</v>
      </c>
      <c r="F112">
        <f t="shared" si="113"/>
        <v>0</v>
      </c>
      <c r="G112">
        <f t="shared" si="113"/>
        <v>0</v>
      </c>
      <c r="H112" cm="1">
        <f t="array" ref="H112">PengRobinsonZ(A112, B112, C112, D112, E112, F112, G112)</f>
        <v>1.2393142788952392</v>
      </c>
      <c r="I112" cm="1">
        <f t="array" ref="I112">LBC_Viscosity(H112, A112, B112, C112, D112, E112, F112, G112)</f>
        <v>0.15609550297048314</v>
      </c>
    </row>
    <row r="113" spans="1:9" x14ac:dyDescent="0.35">
      <c r="A113">
        <f t="shared" si="67"/>
        <v>88</v>
      </c>
      <c r="B113">
        <f t="shared" si="68"/>
        <v>11200</v>
      </c>
      <c r="C113">
        <f t="shared" ref="C113:G113" si="114">C112</f>
        <v>0.85</v>
      </c>
      <c r="D113">
        <f t="shared" si="114"/>
        <v>1</v>
      </c>
      <c r="E113">
        <f t="shared" si="114"/>
        <v>0</v>
      </c>
      <c r="F113">
        <f t="shared" si="114"/>
        <v>0</v>
      </c>
      <c r="G113">
        <f t="shared" si="114"/>
        <v>0</v>
      </c>
      <c r="H113" cm="1">
        <f t="array" ref="H113">PengRobinsonZ(A113, B113, C113, D113, E113, F113, G113)</f>
        <v>1.2490329072926134</v>
      </c>
      <c r="I113" cm="1">
        <f t="array" ref="I113">LBC_Viscosity(H113, A113, B113, C113, D113, E113, F113, G113)</f>
        <v>0.15678505113794569</v>
      </c>
    </row>
    <row r="114" spans="1:9" x14ac:dyDescent="0.35">
      <c r="A114">
        <f t="shared" si="67"/>
        <v>88</v>
      </c>
      <c r="B114">
        <f t="shared" si="68"/>
        <v>11300</v>
      </c>
      <c r="C114">
        <f t="shared" ref="C114:G114" si="115">C113</f>
        <v>0.85</v>
      </c>
      <c r="D114">
        <f t="shared" si="115"/>
        <v>1</v>
      </c>
      <c r="E114">
        <f t="shared" si="115"/>
        <v>0</v>
      </c>
      <c r="F114">
        <f t="shared" si="115"/>
        <v>0</v>
      </c>
      <c r="G114">
        <f t="shared" si="115"/>
        <v>0</v>
      </c>
      <c r="H114" cm="1">
        <f t="array" ref="H114">PengRobinsonZ(A114, B114, C114, D114, E114, F114, G114)</f>
        <v>1.2587429777894044</v>
      </c>
      <c r="I114" cm="1">
        <f t="array" ref="I114">LBC_Viscosity(H114, A114, B114, C114, D114, E114, F114, G114)</f>
        <v>0.15747275028164884</v>
      </c>
    </row>
    <row r="115" spans="1:9" x14ac:dyDescent="0.35">
      <c r="A115">
        <f t="shared" si="67"/>
        <v>88</v>
      </c>
      <c r="B115">
        <f t="shared" si="68"/>
        <v>11400</v>
      </c>
      <c r="C115">
        <f t="shared" ref="C115:G115" si="116">C114</f>
        <v>0.85</v>
      </c>
      <c r="D115">
        <f t="shared" si="116"/>
        <v>1</v>
      </c>
      <c r="E115">
        <f t="shared" si="116"/>
        <v>0</v>
      </c>
      <c r="F115">
        <f t="shared" si="116"/>
        <v>0</v>
      </c>
      <c r="G115">
        <f t="shared" si="116"/>
        <v>0</v>
      </c>
      <c r="H115" cm="1">
        <f t="array" ref="H115">PengRobinsonZ(A115, B115, C115, D115, E115, F115, G115)</f>
        <v>1.2684445942202112</v>
      </c>
      <c r="I115" cm="1">
        <f t="array" ref="I115">LBC_Viscosity(H115, A115, B115, C115, D115, E115, F115, G115)</f>
        <v>0.15815862228293232</v>
      </c>
    </row>
    <row r="116" spans="1:9" x14ac:dyDescent="0.35">
      <c r="A116">
        <f t="shared" si="67"/>
        <v>88</v>
      </c>
      <c r="B116">
        <f t="shared" si="68"/>
        <v>11500</v>
      </c>
      <c r="C116">
        <f t="shared" ref="C116:G116" si="117">C115</f>
        <v>0.85</v>
      </c>
      <c r="D116">
        <f t="shared" si="117"/>
        <v>1</v>
      </c>
      <c r="E116">
        <f t="shared" si="117"/>
        <v>0</v>
      </c>
      <c r="F116">
        <f t="shared" si="117"/>
        <v>0</v>
      </c>
      <c r="G116">
        <f t="shared" si="117"/>
        <v>0</v>
      </c>
      <c r="H116" cm="1">
        <f t="array" ref="H116">PengRobinsonZ(A116, B116, C116, D116, E116, F116, G116)</f>
        <v>1.2781378584097876</v>
      </c>
      <c r="I116" cm="1">
        <f t="array" ref="I116">LBC_Viscosity(H116, A116, B116, C116, D116, E116, F116, G116)</f>
        <v>0.15884268845134922</v>
      </c>
    </row>
    <row r="117" spans="1:9" x14ac:dyDescent="0.35">
      <c r="A117">
        <f t="shared" si="67"/>
        <v>88</v>
      </c>
      <c r="B117">
        <f t="shared" si="68"/>
        <v>11600</v>
      </c>
      <c r="C117">
        <f t="shared" ref="C117:G117" si="118">C116</f>
        <v>0.85</v>
      </c>
      <c r="D117">
        <f t="shared" si="118"/>
        <v>1</v>
      </c>
      <c r="E117">
        <f t="shared" si="118"/>
        <v>0</v>
      </c>
      <c r="F117">
        <f t="shared" si="118"/>
        <v>0</v>
      </c>
      <c r="G117">
        <f t="shared" si="118"/>
        <v>0</v>
      </c>
      <c r="H117" cm="1">
        <f t="array" ref="H117">PengRobinsonZ(A117, B117, C117, D117, E117, F117, G117)</f>
        <v>1.2878228702269761</v>
      </c>
      <c r="I117" cm="1">
        <f t="array" ref="I117">LBC_Viscosity(H117, A117, B117, C117, D117, E117, F117, G117)</f>
        <v>0.15952496954528242</v>
      </c>
    </row>
    <row r="118" spans="1:9" x14ac:dyDescent="0.35">
      <c r="A118">
        <f t="shared" si="67"/>
        <v>88</v>
      </c>
      <c r="B118">
        <f t="shared" si="68"/>
        <v>11700</v>
      </c>
      <c r="C118">
        <f t="shared" ref="C118:G118" si="119">C117</f>
        <v>0.85</v>
      </c>
      <c r="D118">
        <f t="shared" si="119"/>
        <v>1</v>
      </c>
      <c r="E118">
        <f t="shared" si="119"/>
        <v>0</v>
      </c>
      <c r="F118">
        <f t="shared" si="119"/>
        <v>0</v>
      </c>
      <c r="G118">
        <f t="shared" si="119"/>
        <v>0</v>
      </c>
      <c r="H118" cm="1">
        <f t="array" ref="H118">PengRobinsonZ(A118, B118, C118, D118, E118, F118, G118)</f>
        <v>1.2974997276367972</v>
      </c>
      <c r="I118" cm="1">
        <f t="array" ref="I118">LBC_Viscosity(H118, A118, B118, C118, D118, E118, F118, G118)</f>
        <v>0.16020548579164276</v>
      </c>
    </row>
    <row r="119" spans="1:9" x14ac:dyDescent="0.35">
      <c r="A119">
        <f t="shared" si="67"/>
        <v>88</v>
      </c>
      <c r="B119">
        <f t="shared" si="68"/>
        <v>11800</v>
      </c>
      <c r="C119">
        <f t="shared" ref="C119:G119" si="120">C118</f>
        <v>0.85</v>
      </c>
      <c r="D119">
        <f t="shared" si="120"/>
        <v>1</v>
      </c>
      <c r="E119">
        <f t="shared" si="120"/>
        <v>0</v>
      </c>
      <c r="F119">
        <f t="shared" si="120"/>
        <v>0</v>
      </c>
      <c r="G119">
        <f t="shared" si="120"/>
        <v>0</v>
      </c>
      <c r="H119" cm="1">
        <f t="array" ref="H119">PengRobinsonZ(A119, B119, C119, D119, E119, F119, G119)</f>
        <v>1.3071685267507733</v>
      </c>
      <c r="I119" cm="1">
        <f t="array" ref="I119">LBC_Viscosity(H119, A119, B119, C119, D119, E119, F119, G119)</f>
        <v>0.16088425690469393</v>
      </c>
    </row>
    <row r="120" spans="1:9" x14ac:dyDescent="0.35">
      <c r="A120">
        <f t="shared" si="67"/>
        <v>88</v>
      </c>
      <c r="B120">
        <f t="shared" si="68"/>
        <v>11900</v>
      </c>
      <c r="C120">
        <f t="shared" ref="C120:G120" si="121">C119</f>
        <v>0.85</v>
      </c>
      <c r="D120">
        <f t="shared" si="121"/>
        <v>1</v>
      </c>
      <c r="E120">
        <f t="shared" si="121"/>
        <v>0</v>
      </c>
      <c r="F120">
        <f t="shared" si="121"/>
        <v>0</v>
      </c>
      <c r="G120">
        <f t="shared" si="121"/>
        <v>0</v>
      </c>
      <c r="H120" cm="1">
        <f t="array" ref="H120">PengRobinsonZ(A120, B120, C120, D120, E120, F120, G120)</f>
        <v>1.3168293618755618</v>
      </c>
      <c r="I120" cm="1">
        <f t="array" ref="I120">LBC_Viscosity(H120, A120, B120, C120, D120, E120, F120, G120)</f>
        <v>0.16156130210404746</v>
      </c>
    </row>
    <row r="121" spans="1:9" x14ac:dyDescent="0.35">
      <c r="A121">
        <f t="shared" si="67"/>
        <v>88</v>
      </c>
      <c r="B121">
        <f t="shared" si="68"/>
        <v>12000</v>
      </c>
      <c r="C121">
        <f t="shared" ref="C121:G121" si="122">C120</f>
        <v>0.85</v>
      </c>
      <c r="D121">
        <f t="shared" si="122"/>
        <v>1</v>
      </c>
      <c r="E121">
        <f t="shared" si="122"/>
        <v>0</v>
      </c>
      <c r="F121">
        <f t="shared" si="122"/>
        <v>0</v>
      </c>
      <c r="G121">
        <f t="shared" si="122"/>
        <v>0</v>
      </c>
      <c r="H121" cm="1">
        <f t="array" ref="H121">PengRobinsonZ(A121, B121, C121, D121, E121, F121, G121)</f>
        <v>1.3264823255599583</v>
      </c>
      <c r="I121" cm="1">
        <f t="array" ref="I121">LBC_Viscosity(H121, A121, B121, C121, D121, E121, F121, G121)</f>
        <v>0.16223664013188097</v>
      </c>
    </row>
    <row r="122" spans="1:9" x14ac:dyDescent="0.35">
      <c r="A122">
        <f t="shared" si="67"/>
        <v>88</v>
      </c>
      <c r="B122">
        <f t="shared" si="68"/>
        <v>12100</v>
      </c>
      <c r="C122">
        <f t="shared" ref="C122:G122" si="123">C121</f>
        <v>0.85</v>
      </c>
      <c r="D122">
        <f t="shared" si="123"/>
        <v>1</v>
      </c>
      <c r="E122">
        <f t="shared" si="123"/>
        <v>0</v>
      </c>
      <c r="F122">
        <f t="shared" si="123"/>
        <v>0</v>
      </c>
      <c r="G122">
        <f t="shared" si="123"/>
        <v>0</v>
      </c>
      <c r="H122" cm="1">
        <f t="array" ref="H122">PengRobinsonZ(A122, B122, C122, D122, E122, F122, G122)</f>
        <v>1.336127508640345</v>
      </c>
      <c r="I122" cm="1">
        <f t="array" ref="I122">LBC_Viscosity(H122, A122, B122, C122, D122, E122, F122, G122)</f>
        <v>0.16291028926940951</v>
      </c>
    </row>
    <row r="123" spans="1:9" x14ac:dyDescent="0.35">
      <c r="A123">
        <f t="shared" si="67"/>
        <v>88</v>
      </c>
      <c r="B123">
        <f t="shared" si="68"/>
        <v>12200</v>
      </c>
      <c r="C123">
        <f t="shared" ref="C123:G123" si="124">C122</f>
        <v>0.85</v>
      </c>
      <c r="D123">
        <f t="shared" si="124"/>
        <v>1</v>
      </c>
      <c r="E123">
        <f t="shared" si="124"/>
        <v>0</v>
      </c>
      <c r="F123">
        <f t="shared" si="124"/>
        <v>0</v>
      </c>
      <c r="G123">
        <f t="shared" si="124"/>
        <v>0</v>
      </c>
      <c r="H123" cm="1">
        <f t="array" ref="H123">PengRobinsonZ(A123, B123, C123, D123, E123, F123, G123)</f>
        <v>1.3457650002846375</v>
      </c>
      <c r="I123" cm="1">
        <f t="array" ref="I123">LBC_Viscosity(H123, A123, B123, C123, D123, E123, F123, G123)</f>
        <v>0.16358226735265299</v>
      </c>
    </row>
    <row r="124" spans="1:9" x14ac:dyDescent="0.35">
      <c r="A124">
        <f t="shared" si="67"/>
        <v>88</v>
      </c>
      <c r="B124">
        <f t="shared" si="68"/>
        <v>12300</v>
      </c>
      <c r="C124">
        <f t="shared" ref="C124:G124" si="125">C123</f>
        <v>0.85</v>
      </c>
      <c r="D124">
        <f t="shared" si="125"/>
        <v>1</v>
      </c>
      <c r="E124">
        <f t="shared" si="125"/>
        <v>0</v>
      </c>
      <c r="F124">
        <f t="shared" si="125"/>
        <v>0</v>
      </c>
      <c r="G124">
        <f t="shared" si="125"/>
        <v>0</v>
      </c>
      <c r="H124" cm="1">
        <f t="array" ref="H124">PengRobinsonZ(A124, B124, C124, D124, E124, F124, G124)</f>
        <v>1.3553948880347959</v>
      </c>
      <c r="I124" cm="1">
        <f t="array" ref="I124">LBC_Viscosity(H124, A124, B124, C124, D124, E124, F124, G124)</f>
        <v>0.16425259178753596</v>
      </c>
    </row>
    <row r="125" spans="1:9" x14ac:dyDescent="0.35">
      <c r="A125">
        <f t="shared" si="67"/>
        <v>88</v>
      </c>
      <c r="B125">
        <f t="shared" si="68"/>
        <v>12400</v>
      </c>
      <c r="C125">
        <f t="shared" ref="C125:G125" si="126">C124</f>
        <v>0.85</v>
      </c>
      <c r="D125">
        <f t="shared" si="126"/>
        <v>1</v>
      </c>
      <c r="E125">
        <f t="shared" si="126"/>
        <v>0</v>
      </c>
      <c r="F125">
        <f t="shared" si="126"/>
        <v>0</v>
      </c>
      <c r="G125">
        <f t="shared" si="126"/>
        <v>0</v>
      </c>
      <c r="H125" cm="1">
        <f t="array" ref="H125">PengRobinsonZ(A125, B125, C125, D125, E125, F125, G125)</f>
        <v>1.3650172578479545</v>
      </c>
      <c r="I125" cm="1">
        <f t="array" ref="I125">LBC_Viscosity(H125, A125, B125, C125, D125, E125, F125, G125)</f>
        <v>0.16492127956435351</v>
      </c>
    </row>
    <row r="126" spans="1:9" x14ac:dyDescent="0.35">
      <c r="A126">
        <f t="shared" si="67"/>
        <v>88</v>
      </c>
      <c r="B126">
        <f t="shared" si="68"/>
        <v>12500</v>
      </c>
      <c r="C126">
        <f t="shared" ref="C126:G126" si="127">C125</f>
        <v>0.85</v>
      </c>
      <c r="D126">
        <f t="shared" si="127"/>
        <v>1</v>
      </c>
      <c r="E126">
        <f t="shared" si="127"/>
        <v>0</v>
      </c>
      <c r="F126">
        <f t="shared" si="127"/>
        <v>0</v>
      </c>
      <c r="G126">
        <f t="shared" si="127"/>
        <v>0</v>
      </c>
      <c r="H126" cm="1">
        <f t="array" ref="H126">PengRobinsonZ(A126, B126, C126, D126, E126, F126, G126)</f>
        <v>1.3746321941362258</v>
      </c>
      <c r="I126" cm="1">
        <f t="array" ref="I126">LBC_Viscosity(H126, A126, B126, C126, D126, E126, F126, G126)</f>
        <v>0.16558834727163069</v>
      </c>
    </row>
    <row r="127" spans="1:9" x14ac:dyDescent="0.35">
      <c r="A127">
        <f t="shared" si="67"/>
        <v>88</v>
      </c>
      <c r="B127">
        <f t="shared" si="68"/>
        <v>12600</v>
      </c>
      <c r="C127">
        <f t="shared" ref="C127:G127" si="128">C126</f>
        <v>0.85</v>
      </c>
      <c r="D127">
        <f t="shared" si="128"/>
        <v>1</v>
      </c>
      <c r="E127">
        <f t="shared" si="128"/>
        <v>0</v>
      </c>
      <c r="F127">
        <f t="shared" si="128"/>
        <v>0</v>
      </c>
      <c r="G127">
        <f t="shared" si="128"/>
        <v>0</v>
      </c>
      <c r="H127" cm="1">
        <f t="array" ref="H127">PengRobinsonZ(A127, B127, C127, D127, E127, F127, G127)</f>
        <v>1.3842397798052286</v>
      </c>
      <c r="I127" cm="1">
        <f t="array" ref="I127">LBC_Viscosity(H127, A127, B127, C127, D127, E127, F127, G127)</f>
        <v>0.16625381110941118</v>
      </c>
    </row>
    <row r="128" spans="1:9" x14ac:dyDescent="0.35">
      <c r="A128">
        <f t="shared" si="67"/>
        <v>88</v>
      </c>
      <c r="B128">
        <f t="shared" si="68"/>
        <v>12700</v>
      </c>
      <c r="C128">
        <f t="shared" ref="C128:G128" si="129">C127</f>
        <v>0.85</v>
      </c>
      <c r="D128">
        <f t="shared" si="129"/>
        <v>1</v>
      </c>
      <c r="E128">
        <f t="shared" si="129"/>
        <v>0</v>
      </c>
      <c r="F128">
        <f t="shared" si="129"/>
        <v>0</v>
      </c>
      <c r="G128">
        <f t="shared" si="129"/>
        <v>0</v>
      </c>
      <c r="H128" cm="1">
        <f t="array" ref="H128">PengRobinsonZ(A128, B128, C128, D128, E128, F128, G128)</f>
        <v>1.3938400962913859</v>
      </c>
      <c r="I128" cm="1">
        <f t="array" ref="I128">LBC_Viscosity(H128, A128, B128, C128, D128, E128, F128, G128)</f>
        <v>0.16691768690200265</v>
      </c>
    </row>
    <row r="129" spans="1:9" x14ac:dyDescent="0.35">
      <c r="A129">
        <f t="shared" si="67"/>
        <v>88</v>
      </c>
      <c r="B129">
        <f t="shared" si="68"/>
        <v>12800</v>
      </c>
      <c r="C129">
        <f t="shared" ref="C129:G129" si="130">C128</f>
        <v>0.85</v>
      </c>
      <c r="D129">
        <f t="shared" si="130"/>
        <v>1</v>
      </c>
      <c r="E129">
        <f t="shared" si="130"/>
        <v>0</v>
      </c>
      <c r="F129">
        <f t="shared" si="130"/>
        <v>0</v>
      </c>
      <c r="G129">
        <f t="shared" si="130"/>
        <v>0</v>
      </c>
      <c r="H129" cm="1">
        <f t="array" ref="H129">PengRobinsonZ(A129, B129, C129, D129, E129, F129, G129)</f>
        <v>1.4034332235980538</v>
      </c>
      <c r="I129" cm="1">
        <f t="array" ref="I129">LBC_Viscosity(H129, A129, B129, C129, D129, E129, F129, G129)</f>
        <v>0.16757999011019847</v>
      </c>
    </row>
    <row r="130" spans="1:9" x14ac:dyDescent="0.35">
      <c r="A130">
        <f t="shared" si="67"/>
        <v>88</v>
      </c>
      <c r="B130">
        <f t="shared" si="68"/>
        <v>12900</v>
      </c>
      <c r="C130">
        <f t="shared" ref="C130:G130" si="131">C129</f>
        <v>0.85</v>
      </c>
      <c r="D130">
        <f t="shared" si="131"/>
        <v>1</v>
      </c>
      <c r="E130">
        <f t="shared" si="131"/>
        <v>0</v>
      </c>
      <c r="F130">
        <f t="shared" si="131"/>
        <v>0</v>
      </c>
      <c r="G130">
        <f t="shared" si="131"/>
        <v>0</v>
      </c>
      <c r="H130" cm="1">
        <f t="array" ref="H130">PengRobinsonZ(A130, B130, C130, D130, E130, F130, G130)</f>
        <v>1.4130192403305029</v>
      </c>
      <c r="I130" cm="1">
        <f t="array" ref="I130">LBC_Viscosity(H130, A130, B130, C130, D130, E130, F130, G130)</f>
        <v>0.16824073584301427</v>
      </c>
    </row>
    <row r="131" spans="1:9" x14ac:dyDescent="0.35">
      <c r="A131">
        <f t="shared" si="67"/>
        <v>88</v>
      </c>
      <c r="B131">
        <f t="shared" si="68"/>
        <v>13000</v>
      </c>
      <c r="C131">
        <f t="shared" ref="C131:G131" si="132">C130</f>
        <v>0.85</v>
      </c>
      <c r="D131">
        <f t="shared" si="132"/>
        <v>1</v>
      </c>
      <c r="E131">
        <f t="shared" si="132"/>
        <v>0</v>
      </c>
      <c r="F131">
        <f t="shared" si="132"/>
        <v>0</v>
      </c>
      <c r="G131">
        <f t="shared" si="132"/>
        <v>0</v>
      </c>
      <c r="H131" cm="1">
        <f t="array" ref="H131">PengRobinsonZ(A131, B131, C131, D131, E131, F131, G131)</f>
        <v>1.4225982237298269</v>
      </c>
      <c r="I131" cm="1">
        <f t="array" ref="I131">LBC_Viscosity(H131, A131, B131, C131, D131, E131, F131, G131)</f>
        <v>0.16889993886894347</v>
      </c>
    </row>
    <row r="132" spans="1:9" x14ac:dyDescent="0.35">
      <c r="A132">
        <f t="shared" ref="A132:A151" si="133">A131</f>
        <v>88</v>
      </c>
      <c r="B132">
        <f t="shared" ref="B132:B151" si="134">B131+100</f>
        <v>13100</v>
      </c>
      <c r="C132">
        <f t="shared" ref="C132:G132" si="135">C131</f>
        <v>0.85</v>
      </c>
      <c r="D132">
        <f t="shared" si="135"/>
        <v>1</v>
      </c>
      <c r="E132">
        <f t="shared" si="135"/>
        <v>0</v>
      </c>
      <c r="F132">
        <f t="shared" si="135"/>
        <v>0</v>
      </c>
      <c r="G132">
        <f t="shared" si="135"/>
        <v>0</v>
      </c>
      <c r="H132" cm="1">
        <f t="array" ref="H132">PengRobinsonZ(A132, B132, C132, D132, E132, F132, G132)</f>
        <v>1.4321702497057831</v>
      </c>
      <c r="I132" cm="1">
        <f t="array" ref="I132">LBC_Viscosity(H132, A132, B132, C132, D132, E132, F132, G132)</f>
        <v>0.16955761362677793</v>
      </c>
    </row>
    <row r="133" spans="1:9" x14ac:dyDescent="0.35">
      <c r="A133">
        <f t="shared" si="133"/>
        <v>88</v>
      </c>
      <c r="B133">
        <f t="shared" si="134"/>
        <v>13200</v>
      </c>
      <c r="C133">
        <f t="shared" ref="C133:G133" si="136">C132</f>
        <v>0.85</v>
      </c>
      <c r="D133">
        <f t="shared" si="136"/>
        <v>1</v>
      </c>
      <c r="E133">
        <f t="shared" si="136"/>
        <v>0</v>
      </c>
      <c r="F133">
        <f t="shared" si="136"/>
        <v>0</v>
      </c>
      <c r="G133">
        <f t="shared" si="136"/>
        <v>0</v>
      </c>
      <c r="H133" cm="1">
        <f t="array" ref="H133">PengRobinsonZ(A133, B133, C133, D133, E133, F133, G133)</f>
        <v>1.4417353928686347</v>
      </c>
      <c r="I133" cm="1">
        <f t="array" ref="I133">LBC_Viscosity(H133, A133, B133, C133, D133, E133, F133, G133)</f>
        <v>0.17021377423599415</v>
      </c>
    </row>
    <row r="134" spans="1:9" x14ac:dyDescent="0.35">
      <c r="A134">
        <f t="shared" si="133"/>
        <v>88</v>
      </c>
      <c r="B134">
        <f t="shared" si="134"/>
        <v>13300</v>
      </c>
      <c r="C134">
        <f t="shared" ref="C134:G134" si="137">C133</f>
        <v>0.85</v>
      </c>
      <c r="D134">
        <f t="shared" si="137"/>
        <v>1</v>
      </c>
      <c r="E134">
        <f t="shared" si="137"/>
        <v>0</v>
      </c>
      <c r="F134">
        <f t="shared" si="137"/>
        <v>0</v>
      </c>
      <c r="G134">
        <f t="shared" si="137"/>
        <v>0</v>
      </c>
      <c r="H134" cm="1">
        <f t="array" ref="H134">PengRobinsonZ(A134, B134, C134, D134, E134, F134, G134)</f>
        <v>1.451293726560019</v>
      </c>
      <c r="I134" cm="1">
        <f t="array" ref="I134">LBC_Viscosity(H134, A134, B134, C134, D134, E134, F134, G134)</f>
        <v>0.17086843450673528</v>
      </c>
    </row>
    <row r="135" spans="1:9" x14ac:dyDescent="0.35">
      <c r="A135">
        <f t="shared" si="133"/>
        <v>88</v>
      </c>
      <c r="B135">
        <f t="shared" si="134"/>
        <v>13400</v>
      </c>
      <c r="C135">
        <f t="shared" ref="C135:G135" si="138">C134</f>
        <v>0.85</v>
      </c>
      <c r="D135">
        <f t="shared" si="138"/>
        <v>1</v>
      </c>
      <c r="E135">
        <f t="shared" si="138"/>
        <v>0</v>
      </c>
      <c r="F135">
        <f t="shared" si="138"/>
        <v>0</v>
      </c>
      <c r="G135">
        <f t="shared" si="138"/>
        <v>0</v>
      </c>
      <c r="H135" cm="1">
        <f t="array" ref="H135">PengRobinsonZ(A135, B135, C135, D135, E135, F135, G135)</f>
        <v>1.4608453228828724</v>
      </c>
      <c r="I135" cm="1">
        <f t="array" ref="I135">LBC_Viscosity(H135, A135, B135, C135, D135, E135, F135, G135)</f>
        <v>0.17152160794940766</v>
      </c>
    </row>
    <row r="136" spans="1:9" x14ac:dyDescent="0.35">
      <c r="A136">
        <f t="shared" si="133"/>
        <v>88</v>
      </c>
      <c r="B136">
        <f t="shared" si="134"/>
        <v>13500</v>
      </c>
      <c r="C136">
        <f t="shared" ref="C136:G136" si="139">C135</f>
        <v>0.85</v>
      </c>
      <c r="D136">
        <f t="shared" si="139"/>
        <v>1</v>
      </c>
      <c r="E136">
        <f t="shared" si="139"/>
        <v>0</v>
      </c>
      <c r="F136">
        <f t="shared" si="139"/>
        <v>0</v>
      </c>
      <c r="G136">
        <f t="shared" si="139"/>
        <v>0</v>
      </c>
      <c r="H136" cm="1">
        <f t="array" ref="H136">PengRobinsonZ(A136, B136, C136, D136, E136, F136, G136)</f>
        <v>1.4703902527304611</v>
      </c>
      <c r="I136" cm="1">
        <f t="array" ref="I136">LBC_Viscosity(H136, A136, B136, C136, D136, E136, F136, G136)</f>
        <v>0.1721733077839068</v>
      </c>
    </row>
    <row r="137" spans="1:9" x14ac:dyDescent="0.35">
      <c r="A137">
        <f t="shared" si="133"/>
        <v>88</v>
      </c>
      <c r="B137">
        <f t="shared" si="134"/>
        <v>13600</v>
      </c>
      <c r="C137">
        <f t="shared" ref="C137:G137" si="140">C136</f>
        <v>0.85</v>
      </c>
      <c r="D137">
        <f t="shared" si="140"/>
        <v>1</v>
      </c>
      <c r="E137">
        <f t="shared" si="140"/>
        <v>0</v>
      </c>
      <c r="F137">
        <f t="shared" si="140"/>
        <v>0</v>
      </c>
      <c r="G137">
        <f t="shared" si="140"/>
        <v>0</v>
      </c>
      <c r="H137" cm="1">
        <f t="array" ref="H137">PengRobinsonZ(A137, B137, C137, D137, E137, F137, G137)</f>
        <v>1.4799285858145372</v>
      </c>
      <c r="I137" cm="1">
        <f t="array" ref="I137">LBC_Viscosity(H137, A137, B137, C137, D137, E137, F137, G137)</f>
        <v>0.17282354694849048</v>
      </c>
    </row>
    <row r="138" spans="1:9" x14ac:dyDescent="0.35">
      <c r="A138">
        <f t="shared" si="133"/>
        <v>88</v>
      </c>
      <c r="B138">
        <f t="shared" si="134"/>
        <v>13700</v>
      </c>
      <c r="C138">
        <f t="shared" ref="C138:G138" si="141">C137</f>
        <v>0.85</v>
      </c>
      <c r="D138">
        <f t="shared" si="141"/>
        <v>1</v>
      </c>
      <c r="E138">
        <f t="shared" si="141"/>
        <v>0</v>
      </c>
      <c r="F138">
        <f t="shared" si="141"/>
        <v>0</v>
      </c>
      <c r="G138">
        <f t="shared" si="141"/>
        <v>0</v>
      </c>
      <c r="H138" cm="1">
        <f t="array" ref="H138">PengRobinsonZ(A138, B138, C138, D138, E138, F138, G138)</f>
        <v>1.4894603906926596</v>
      </c>
      <c r="I138" cm="1">
        <f t="array" ref="I138">LBC_Viscosity(H138, A138, B138, C138, D138, E138, F138, G138)</f>
        <v>0.17347233810831561</v>
      </c>
    </row>
    <row r="139" spans="1:9" x14ac:dyDescent="0.35">
      <c r="A139">
        <f t="shared" si="133"/>
        <v>88</v>
      </c>
      <c r="B139">
        <f t="shared" si="134"/>
        <v>13800</v>
      </c>
      <c r="C139">
        <f t="shared" ref="C139:G139" si="142">C138</f>
        <v>0.85</v>
      </c>
      <c r="D139">
        <f t="shared" si="142"/>
        <v>1</v>
      </c>
      <c r="E139">
        <f t="shared" si="142"/>
        <v>0</v>
      </c>
      <c r="F139">
        <f t="shared" si="142"/>
        <v>0</v>
      </c>
      <c r="G139">
        <f t="shared" si="142"/>
        <v>0</v>
      </c>
      <c r="H139" cm="1">
        <f t="array" ref="H139">PengRobinsonZ(A139, B139, C139, D139, E139, F139, G139)</f>
        <v>1.4989857347947082</v>
      </c>
      <c r="I139" cm="1">
        <f t="array" ref="I139">LBC_Viscosity(H139, A139, B139, C139, D139, E139, F139, G139)</f>
        <v>0.1741196936636534</v>
      </c>
    </row>
    <row r="140" spans="1:9" x14ac:dyDescent="0.35">
      <c r="A140">
        <f t="shared" si="133"/>
        <v>88</v>
      </c>
      <c r="B140">
        <f t="shared" si="134"/>
        <v>13900</v>
      </c>
      <c r="C140">
        <f t="shared" ref="C140:G140" si="143">C139</f>
        <v>0.85</v>
      </c>
      <c r="D140">
        <f t="shared" si="143"/>
        <v>1</v>
      </c>
      <c r="E140">
        <f t="shared" si="143"/>
        <v>0</v>
      </c>
      <c r="F140">
        <f t="shared" si="143"/>
        <v>0</v>
      </c>
      <c r="G140">
        <f t="shared" si="143"/>
        <v>0</v>
      </c>
      <c r="H140" cm="1">
        <f t="array" ref="H140">PengRobinsonZ(A140, B140, C140, D140, E140, F140, G140)</f>
        <v>1.508504684448615</v>
      </c>
      <c r="I140" cm="1">
        <f t="array" ref="I140">LBC_Viscosity(H140, A140, B140, C140, D140, E140, F140, G140)</f>
        <v>0.17476562575780036</v>
      </c>
    </row>
    <row r="141" spans="1:9" x14ac:dyDescent="0.35">
      <c r="A141">
        <f t="shared" si="133"/>
        <v>88</v>
      </c>
      <c r="B141">
        <f t="shared" si="134"/>
        <v>14000</v>
      </c>
      <c r="C141">
        <f t="shared" ref="C141:G141" si="144">C140</f>
        <v>0.85</v>
      </c>
      <c r="D141">
        <f t="shared" si="144"/>
        <v>1</v>
      </c>
      <c r="E141">
        <f t="shared" si="144"/>
        <v>0</v>
      </c>
      <c r="F141">
        <f t="shared" si="144"/>
        <v>0</v>
      </c>
      <c r="G141">
        <f t="shared" si="144"/>
        <v>0</v>
      </c>
      <c r="H141" cm="1">
        <f t="array" ref="H141">PengRobinsonZ(A141, B141, C141, D141, E141, F141, G141)</f>
        <v>1.5180173049053489</v>
      </c>
      <c r="I141" cm="1">
        <f t="array" ref="I141">LBC_Viscosity(H141, A141, B141, C141, D141, E141, F141, G141)</f>
        <v>0.17541014628469065</v>
      </c>
    </row>
    <row r="142" spans="1:9" x14ac:dyDescent="0.35">
      <c r="A142">
        <f t="shared" si="133"/>
        <v>88</v>
      </c>
      <c r="B142">
        <f t="shared" si="134"/>
        <v>14100</v>
      </c>
      <c r="C142">
        <f t="shared" ref="C142:G142" si="145">C141</f>
        <v>0.85</v>
      </c>
      <c r="D142">
        <f t="shared" si="145"/>
        <v>1</v>
      </c>
      <c r="E142">
        <f t="shared" si="145"/>
        <v>0</v>
      </c>
      <c r="F142">
        <f t="shared" si="145"/>
        <v>0</v>
      </c>
      <c r="G142">
        <f t="shared" si="145"/>
        <v>0</v>
      </c>
      <c r="H142" cm="1">
        <f t="array" ref="H142">PengRobinsonZ(A142, B142, C142, D142, E142, F142, G142)</f>
        <v>1.5275236603631732</v>
      </c>
      <c r="I142" cm="1">
        <f t="array" ref="I142">LBC_Viscosity(H142, A142, B142, C142, D142, E142, F142, G142)</f>
        <v>0.17605326689623546</v>
      </c>
    </row>
    <row r="143" spans="1:9" x14ac:dyDescent="0.35">
      <c r="A143">
        <f t="shared" si="133"/>
        <v>88</v>
      </c>
      <c r="B143">
        <f t="shared" si="134"/>
        <v>14200</v>
      </c>
      <c r="C143">
        <f t="shared" ref="C143:G143" si="146">C142</f>
        <v>0.85</v>
      </c>
      <c r="D143">
        <f t="shared" si="146"/>
        <v>1</v>
      </c>
      <c r="E143">
        <f t="shared" si="146"/>
        <v>0</v>
      </c>
      <c r="F143">
        <f t="shared" si="146"/>
        <v>0</v>
      </c>
      <c r="G143">
        <f t="shared" si="146"/>
        <v>0</v>
      </c>
      <c r="H143" cm="1">
        <f t="array" ref="H143">PengRobinsonZ(A143, B143, C143, D143, E143, F143, G143)</f>
        <v>1.5370238139912096</v>
      </c>
      <c r="I143" cm="1">
        <f t="array" ref="I143">LBC_Viscosity(H143, A143, B143, C143, D143, E143, F143, G143)</f>
        <v>0.17669499900938518</v>
      </c>
    </row>
    <row r="144" spans="1:9" x14ac:dyDescent="0.35">
      <c r="A144">
        <f t="shared" si="133"/>
        <v>88</v>
      </c>
      <c r="B144">
        <f t="shared" si="134"/>
        <v>14300</v>
      </c>
      <c r="C144">
        <f t="shared" ref="C144:G144" si="147">C143</f>
        <v>0.85</v>
      </c>
      <c r="D144">
        <f t="shared" si="147"/>
        <v>1</v>
      </c>
      <c r="E144">
        <f t="shared" si="147"/>
        <v>0</v>
      </c>
      <c r="F144">
        <f t="shared" si="147"/>
        <v>0</v>
      </c>
      <c r="G144">
        <f t="shared" si="147"/>
        <v>0</v>
      </c>
      <c r="H144" cm="1">
        <f t="array" ref="H144">PengRobinsonZ(A144, B144, C144, D144, E144, F144, G144)</f>
        <v>1.546517827952318</v>
      </c>
      <c r="I144" cm="1">
        <f t="array" ref="I144">LBC_Viscosity(H144, A144, B144, C144, D144, E144, F144, G144)</f>
        <v>0.17733535381294474</v>
      </c>
    </row>
    <row r="145" spans="1:9" x14ac:dyDescent="0.35">
      <c r="A145">
        <f t="shared" si="133"/>
        <v>88</v>
      </c>
      <c r="B145">
        <f t="shared" si="134"/>
        <v>14400</v>
      </c>
      <c r="C145">
        <f t="shared" ref="C145:G145" si="148">C144</f>
        <v>0.85</v>
      </c>
      <c r="D145">
        <f t="shared" si="148"/>
        <v>1</v>
      </c>
      <c r="E145">
        <f t="shared" si="148"/>
        <v>0</v>
      </c>
      <c r="F145">
        <f t="shared" si="148"/>
        <v>0</v>
      </c>
      <c r="G145">
        <f t="shared" si="148"/>
        <v>0</v>
      </c>
      <c r="H145" cm="1">
        <f t="array" ref="H145">PengRobinsonZ(A145, B145, C145, D145, E145, F145, G145)</f>
        <v>1.5560057634253324</v>
      </c>
      <c r="I145" cm="1">
        <f t="array" ref="I145">LBC_Viscosity(H145, A145, B145, C145, D145, E145, F145, G145)</f>
        <v>0.1779743422741373</v>
      </c>
    </row>
    <row r="146" spans="1:9" x14ac:dyDescent="0.35">
      <c r="A146">
        <f t="shared" si="133"/>
        <v>88</v>
      </c>
      <c r="B146">
        <f t="shared" si="134"/>
        <v>14500</v>
      </c>
      <c r="C146">
        <f t="shared" ref="C146:G146" si="149">C145</f>
        <v>0.85</v>
      </c>
      <c r="D146">
        <f t="shared" si="149"/>
        <v>1</v>
      </c>
      <c r="E146">
        <f t="shared" si="149"/>
        <v>0</v>
      </c>
      <c r="F146">
        <f t="shared" si="149"/>
        <v>0</v>
      </c>
      <c r="G146">
        <f t="shared" si="149"/>
        <v>0</v>
      </c>
      <c r="H146" cm="1">
        <f t="array" ref="H146">PengRobinsonZ(A146, B146, C146, D146, E146, F146, G146)</f>
        <v>1.5654876806266738</v>
      </c>
      <c r="I146" cm="1">
        <f t="array" ref="I146">LBC_Viscosity(H146, A146, B146, C146, D146, E146, F146, G146)</f>
        <v>0.17861197514493191</v>
      </c>
    </row>
    <row r="147" spans="1:9" x14ac:dyDescent="0.35">
      <c r="A147">
        <f t="shared" si="133"/>
        <v>88</v>
      </c>
      <c r="B147">
        <f t="shared" si="134"/>
        <v>14600</v>
      </c>
      <c r="C147">
        <f t="shared" ref="C147:G147" si="150">C146</f>
        <v>0.85</v>
      </c>
      <c r="D147">
        <f t="shared" si="150"/>
        <v>1</v>
      </c>
      <c r="E147">
        <f t="shared" si="150"/>
        <v>0</v>
      </c>
      <c r="F147">
        <f t="shared" si="150"/>
        <v>0</v>
      </c>
      <c r="G147">
        <f t="shared" si="150"/>
        <v>0</v>
      </c>
      <c r="H147" cm="1">
        <f t="array" ref="H147">PengRobinsonZ(A147, B147, C147, D147, E147, F147, G147)</f>
        <v>1.5749636388313368</v>
      </c>
      <c r="I147" cm="1">
        <f t="array" ref="I147">LBC_Viscosity(H147, A147, B147, C147, D147, E147, F147, G147)</f>
        <v>0.17924826296815569</v>
      </c>
    </row>
    <row r="148" spans="1:9" x14ac:dyDescent="0.35">
      <c r="A148">
        <f t="shared" si="133"/>
        <v>88</v>
      </c>
      <c r="B148">
        <f t="shared" si="134"/>
        <v>14700</v>
      </c>
      <c r="C148">
        <f t="shared" ref="C148:G148" si="151">C147</f>
        <v>0.85</v>
      </c>
      <c r="D148">
        <f t="shared" si="151"/>
        <v>1</v>
      </c>
      <c r="E148">
        <f t="shared" si="151"/>
        <v>0</v>
      </c>
      <c r="F148">
        <f t="shared" si="151"/>
        <v>0</v>
      </c>
      <c r="G148">
        <f t="shared" si="151"/>
        <v>0</v>
      </c>
      <c r="H148" cm="1">
        <f t="array" ref="H148">PengRobinsonZ(A148, B148, C148, D148, E148, F148, G148)</f>
        <v>1.5844336963933152</v>
      </c>
      <c r="I148" cm="1">
        <f t="array" ref="I148">LBC_Viscosity(H148, A148, B148, C148, D148, E148, F148, G148)</f>
        <v>0.17988321608337668</v>
      </c>
    </row>
    <row r="149" spans="1:9" x14ac:dyDescent="0.35">
      <c r="A149">
        <f t="shared" si="133"/>
        <v>88</v>
      </c>
      <c r="B149">
        <f t="shared" si="134"/>
        <v>14800</v>
      </c>
      <c r="C149">
        <f t="shared" ref="C149:G149" si="152">C148</f>
        <v>0.85</v>
      </c>
      <c r="D149">
        <f t="shared" si="152"/>
        <v>1</v>
      </c>
      <c r="E149">
        <f t="shared" si="152"/>
        <v>0</v>
      </c>
      <c r="F149">
        <f t="shared" si="152"/>
        <v>0</v>
      </c>
      <c r="G149">
        <f t="shared" si="152"/>
        <v>0</v>
      </c>
      <c r="H149" cm="1">
        <f t="array" ref="H149">PengRobinsonZ(A149, B149, C149, D149, E149, F149, G149)</f>
        <v>1.593897910765437</v>
      </c>
      <c r="I149" cm="1">
        <f t="array" ref="I149">LBC_Viscosity(H149, A149, B149, C149, D149, E149, F149, G149)</f>
        <v>0.18051684463259504</v>
      </c>
    </row>
    <row r="150" spans="1:9" x14ac:dyDescent="0.35">
      <c r="A150">
        <f t="shared" si="133"/>
        <v>88</v>
      </c>
      <c r="B150">
        <f t="shared" si="134"/>
        <v>14900</v>
      </c>
      <c r="C150">
        <f t="shared" ref="C150:G150" si="153">C149</f>
        <v>0.85</v>
      </c>
      <c r="D150">
        <f t="shared" si="153"/>
        <v>1</v>
      </c>
      <c r="E150">
        <f t="shared" si="153"/>
        <v>0</v>
      </c>
      <c r="F150">
        <f t="shared" si="153"/>
        <v>0</v>
      </c>
      <c r="G150">
        <f t="shared" si="153"/>
        <v>0</v>
      </c>
      <c r="H150" cm="1">
        <f t="array" ref="H150">PengRobinsonZ(A150, B150, C150, D150, E150, F150, G150)</f>
        <v>1.6033563385186724</v>
      </c>
      <c r="I150" cm="1">
        <f t="array" ref="I150">LBC_Viscosity(H150, A150, B150, C150, D150, E150, F150, G150)</f>
        <v>0.18114915856572372</v>
      </c>
    </row>
    <row r="151" spans="1:9" x14ac:dyDescent="0.35">
      <c r="A151">
        <f t="shared" si="133"/>
        <v>88</v>
      </c>
      <c r="B151">
        <f t="shared" si="134"/>
        <v>15000</v>
      </c>
      <c r="C151">
        <f t="shared" ref="C151:G151" si="154">C150</f>
        <v>0.85</v>
      </c>
      <c r="D151">
        <f t="shared" si="154"/>
        <v>1</v>
      </c>
      <c r="E151">
        <f t="shared" si="154"/>
        <v>0</v>
      </c>
      <c r="F151">
        <f t="shared" si="154"/>
        <v>0</v>
      </c>
      <c r="G151">
        <f t="shared" si="154"/>
        <v>0</v>
      </c>
      <c r="H151" cm="1">
        <f t="array" ref="H151">PengRobinsonZ(A151, B151, C151, D151, E151, F151, G151)</f>
        <v>1.6128090353608984</v>
      </c>
      <c r="I151" cm="1">
        <f t="array" ref="I151">LBC_Viscosity(H151, A151, B151, C151, D151, E151, F151, G151)</f>
        <v>0.18178016764588811</v>
      </c>
    </row>
  </sheetData>
  <phoneticPr fontId="2" type="noConversion"/>
  <pageMargins left="0.7" right="0.7" top="0.75" bottom="0.75" header="0.3" footer="0.3"/>
  <drawing r:id="rId1"/>
  <legacyDrawing r:id="rId2"/>
</worksheet>
</file>

<file path=docMetadata/LabelInfo.xml><?xml version="1.0" encoding="utf-8"?>
<clbl:labelList xmlns:clbl="http://schemas.microsoft.com/office/2020/mipLabelMetadata">
  <clbl:label id="{447a9cb9-b230-46bf-b430-a7b9f50e3c1e}" enabled="0" method="" siteId="{447a9cb9-b230-46bf-b430-a7b9f50e3c1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degR</vt:lpstr>
      <vt:lpstr>MW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burgoyne</dc:creator>
  <cp:lastModifiedBy>mark burgoyne</cp:lastModifiedBy>
  <dcterms:created xsi:type="dcterms:W3CDTF">2024-05-23T22:12:26Z</dcterms:created>
  <dcterms:modified xsi:type="dcterms:W3CDTF">2024-12-31T00:36:01Z</dcterms:modified>
</cp:coreProperties>
</file>