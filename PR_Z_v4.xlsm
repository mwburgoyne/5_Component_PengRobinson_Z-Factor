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antos-my.sharepoint.com/personal/burmr_santos_com/Documents/Work in progress/Python/0-ResEng/Z-Factors/Inerts/"/>
    </mc:Choice>
  </mc:AlternateContent>
  <xr:revisionPtr revIDLastSave="200" documentId="8_{2B943A6F-AE23-49D4-A1CB-1C4005D22191}" xr6:coauthVersionLast="47" xr6:coauthVersionMax="47" xr10:uidLastSave="{2756A526-7377-4695-9181-812D06F9BF95}"/>
  <bookViews>
    <workbookView xWindow="-110" yWindow="-110" windowWidth="24220" windowHeight="15500" xr2:uid="{66A3F94C-5BF7-4D5D-A69F-40AE7AA3D40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C4" i="1"/>
  <c r="F4" i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B5" i="1"/>
  <c r="C5" i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C6" i="1"/>
  <c r="C7" i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F3" i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D3" i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C3" i="1"/>
  <c r="A3" i="1"/>
  <c r="A4" i="1" s="1"/>
  <c r="B3" i="1"/>
  <c r="G3" i="1" a="1"/>
  <c r="G2" i="1" a="1"/>
  <c r="G4" i="1" a="1"/>
  <c r="G2" i="1" l="1"/>
  <c r="G4" i="1"/>
  <c r="G3" i="1"/>
  <c r="A5" i="1"/>
  <c r="H2" i="1" a="1"/>
  <c r="G5" i="1" a="1"/>
  <c r="H3" i="1" a="1"/>
  <c r="H4" i="1" a="1"/>
  <c r="G5" i="1" l="1"/>
  <c r="A6" i="1"/>
  <c r="H4" i="1"/>
  <c r="H3" i="1"/>
  <c r="H2" i="1"/>
  <c r="G6" i="1" a="1"/>
  <c r="H5" i="1" a="1"/>
  <c r="G6" i="1" l="1"/>
  <c r="H5" i="1"/>
  <c r="A7" i="1"/>
  <c r="H6" i="1" a="1"/>
  <c r="G7" i="1" a="1"/>
  <c r="G7" i="1" l="1"/>
  <c r="H6" i="1"/>
  <c r="A8" i="1"/>
  <c r="H7" i="1" a="1"/>
  <c r="G8" i="1" a="1"/>
  <c r="G8" i="1" l="1"/>
  <c r="H7" i="1"/>
  <c r="A9" i="1"/>
  <c r="H8" i="1" a="1"/>
  <c r="G9" i="1" a="1"/>
  <c r="G9" i="1" l="1"/>
  <c r="H8" i="1"/>
  <c r="A10" i="1"/>
  <c r="H9" i="1" a="1"/>
  <c r="G10" i="1" a="1"/>
  <c r="G10" i="1" l="1"/>
  <c r="H9" i="1"/>
  <c r="A11" i="1"/>
  <c r="H10" i="1" a="1"/>
  <c r="G11" i="1" a="1"/>
  <c r="G11" i="1" l="1"/>
  <c r="H10" i="1"/>
  <c r="A12" i="1"/>
  <c r="H11" i="1" a="1"/>
  <c r="G12" i="1" a="1"/>
  <c r="G12" i="1" l="1"/>
  <c r="H11" i="1"/>
  <c r="A13" i="1"/>
  <c r="H12" i="1" a="1"/>
  <c r="G13" i="1" a="1"/>
  <c r="G13" i="1" l="1"/>
  <c r="H12" i="1"/>
  <c r="A14" i="1"/>
  <c r="H13" i="1" a="1"/>
  <c r="G14" i="1" a="1"/>
  <c r="G14" i="1" l="1"/>
  <c r="H13" i="1"/>
  <c r="A15" i="1"/>
  <c r="H14" i="1" a="1"/>
  <c r="G15" i="1" a="1"/>
  <c r="G15" i="1" l="1"/>
  <c r="H14" i="1"/>
  <c r="A16" i="1"/>
  <c r="H15" i="1" a="1"/>
  <c r="G16" i="1" a="1"/>
  <c r="G16" i="1" l="1"/>
  <c r="H15" i="1"/>
  <c r="A17" i="1"/>
  <c r="H16" i="1" a="1"/>
  <c r="G17" i="1" a="1"/>
  <c r="G17" i="1" l="1"/>
  <c r="H16" i="1"/>
  <c r="A18" i="1"/>
  <c r="H17" i="1" a="1"/>
  <c r="G18" i="1" a="1"/>
  <c r="G18" i="1" l="1"/>
  <c r="H17" i="1"/>
  <c r="A19" i="1"/>
  <c r="H18" i="1" a="1"/>
  <c r="G19" i="1" a="1"/>
  <c r="G19" i="1" l="1"/>
  <c r="H18" i="1"/>
  <c r="A20" i="1"/>
  <c r="H19" i="1" a="1"/>
  <c r="G20" i="1" a="1"/>
  <c r="G20" i="1" l="1"/>
  <c r="H19" i="1"/>
  <c r="A21" i="1"/>
  <c r="G21" i="1" a="1"/>
  <c r="H20" i="1" a="1"/>
  <c r="H20" i="1" l="1"/>
  <c r="G21" i="1"/>
  <c r="A22" i="1"/>
  <c r="G22" i="1" a="1"/>
  <c r="H21" i="1" a="1"/>
  <c r="G22" i="1" l="1"/>
  <c r="H21" i="1"/>
  <c r="A23" i="1"/>
  <c r="G23" i="1" a="1"/>
  <c r="H22" i="1" a="1"/>
  <c r="G23" i="1" l="1"/>
  <c r="H22" i="1"/>
  <c r="A24" i="1"/>
  <c r="H23" i="1" a="1"/>
  <c r="G24" i="1" a="1"/>
  <c r="G24" i="1" l="1"/>
  <c r="H23" i="1"/>
  <c r="A25" i="1"/>
  <c r="H24" i="1" a="1"/>
  <c r="G25" i="1" a="1"/>
  <c r="G25" i="1" l="1"/>
  <c r="H24" i="1"/>
  <c r="A26" i="1"/>
  <c r="H25" i="1" a="1"/>
  <c r="G26" i="1" a="1"/>
  <c r="G26" i="1" l="1"/>
  <c r="H25" i="1"/>
  <c r="A27" i="1"/>
  <c r="H26" i="1" a="1"/>
  <c r="G27" i="1" a="1"/>
  <c r="G27" i="1" l="1"/>
  <c r="H26" i="1"/>
  <c r="A28" i="1"/>
  <c r="H27" i="1" a="1"/>
  <c r="G28" i="1" a="1"/>
  <c r="G28" i="1" l="1"/>
  <c r="H27" i="1"/>
  <c r="A29" i="1"/>
  <c r="H28" i="1" a="1"/>
  <c r="G29" i="1" a="1"/>
  <c r="G29" i="1" l="1"/>
  <c r="H28" i="1"/>
  <c r="A30" i="1"/>
  <c r="G30" i="1" a="1"/>
  <c r="H29" i="1" a="1"/>
  <c r="G30" i="1" l="1"/>
  <c r="H29" i="1"/>
  <c r="A31" i="1"/>
  <c r="G31" i="1" a="1"/>
  <c r="H30" i="1" a="1"/>
  <c r="G31" i="1" l="1"/>
  <c r="H30" i="1"/>
  <c r="A32" i="1"/>
  <c r="H31" i="1" a="1"/>
  <c r="G32" i="1" a="1"/>
  <c r="G32" i="1" l="1"/>
  <c r="H31" i="1"/>
  <c r="A33" i="1"/>
  <c r="H32" i="1" a="1"/>
  <c r="G33" i="1" a="1"/>
  <c r="G33" i="1" l="1"/>
  <c r="H32" i="1"/>
  <c r="A34" i="1"/>
  <c r="H33" i="1" a="1"/>
  <c r="G34" i="1" a="1"/>
  <c r="G34" i="1" l="1"/>
  <c r="H33" i="1"/>
  <c r="A35" i="1"/>
  <c r="G35" i="1" a="1"/>
  <c r="H34" i="1" a="1"/>
  <c r="G35" i="1" l="1"/>
  <c r="H34" i="1"/>
  <c r="A36" i="1"/>
  <c r="H35" i="1" a="1"/>
  <c r="G36" i="1" a="1"/>
  <c r="G36" i="1" l="1"/>
  <c r="H35" i="1"/>
  <c r="A37" i="1"/>
  <c r="H36" i="1" a="1"/>
  <c r="G37" i="1" a="1"/>
  <c r="G37" i="1" l="1"/>
  <c r="H36" i="1"/>
  <c r="A38" i="1"/>
  <c r="H37" i="1" a="1"/>
  <c r="G38" i="1" a="1"/>
  <c r="G38" i="1" l="1"/>
  <c r="H37" i="1"/>
  <c r="A39" i="1"/>
  <c r="H38" i="1" a="1"/>
  <c r="G39" i="1" a="1"/>
  <c r="G39" i="1" l="1"/>
  <c r="H38" i="1"/>
  <c r="A40" i="1"/>
  <c r="G40" i="1" a="1"/>
  <c r="H39" i="1" a="1"/>
  <c r="G40" i="1" l="1"/>
  <c r="H39" i="1"/>
  <c r="A41" i="1"/>
  <c r="G41" i="1" a="1"/>
  <c r="H40" i="1" a="1"/>
  <c r="G41" i="1" l="1"/>
  <c r="H40" i="1"/>
  <c r="A42" i="1"/>
  <c r="H41" i="1" a="1"/>
  <c r="G42" i="1" a="1"/>
  <c r="G42" i="1" l="1"/>
  <c r="H41" i="1"/>
  <c r="A43" i="1"/>
  <c r="H42" i="1" a="1"/>
  <c r="G43" i="1" a="1"/>
  <c r="G43" i="1" l="1"/>
  <c r="H42" i="1"/>
  <c r="A44" i="1"/>
  <c r="H43" i="1" a="1"/>
  <c r="G44" i="1" a="1"/>
  <c r="G44" i="1" l="1"/>
  <c r="H43" i="1"/>
  <c r="A45" i="1"/>
  <c r="H44" i="1" a="1"/>
  <c r="G45" i="1" a="1"/>
  <c r="G45" i="1" l="1"/>
  <c r="H44" i="1"/>
  <c r="A46" i="1"/>
  <c r="G46" i="1" a="1"/>
  <c r="H45" i="1" a="1"/>
  <c r="G46" i="1" l="1"/>
  <c r="H45" i="1"/>
  <c r="A47" i="1"/>
  <c r="H46" i="1" a="1"/>
  <c r="G47" i="1" a="1"/>
  <c r="G47" i="1" l="1"/>
  <c r="H46" i="1"/>
  <c r="A48" i="1"/>
  <c r="H47" i="1" a="1"/>
  <c r="G48" i="1" a="1"/>
  <c r="G48" i="1" l="1"/>
  <c r="H47" i="1"/>
  <c r="A49" i="1"/>
  <c r="G49" i="1" a="1"/>
  <c r="H48" i="1" a="1"/>
  <c r="G49" i="1" l="1"/>
  <c r="H48" i="1"/>
  <c r="A50" i="1"/>
  <c r="H49" i="1" a="1"/>
  <c r="G50" i="1" a="1"/>
  <c r="G50" i="1" l="1"/>
  <c r="H49" i="1"/>
  <c r="A51" i="1"/>
  <c r="H50" i="1" a="1"/>
  <c r="G51" i="1" a="1"/>
  <c r="G51" i="1" l="1"/>
  <c r="H50" i="1"/>
  <c r="A52" i="1"/>
  <c r="H51" i="1" a="1"/>
  <c r="G52" i="1" a="1"/>
  <c r="G52" i="1" l="1"/>
  <c r="H51" i="1"/>
  <c r="A53" i="1"/>
  <c r="H52" i="1" a="1"/>
  <c r="G53" i="1" a="1"/>
  <c r="G53" i="1" l="1"/>
  <c r="H52" i="1"/>
  <c r="A54" i="1"/>
  <c r="H53" i="1" a="1"/>
  <c r="G54" i="1" a="1"/>
  <c r="G54" i="1" l="1"/>
  <c r="H53" i="1"/>
  <c r="A55" i="1"/>
  <c r="H54" i="1" a="1"/>
  <c r="G55" i="1" a="1"/>
  <c r="G55" i="1" l="1"/>
  <c r="H54" i="1"/>
  <c r="A56" i="1"/>
  <c r="G56" i="1" a="1"/>
  <c r="H55" i="1" a="1"/>
  <c r="G56" i="1" l="1"/>
  <c r="H55" i="1"/>
  <c r="A57" i="1"/>
  <c r="H56" i="1" a="1"/>
  <c r="G57" i="1" a="1"/>
  <c r="G57" i="1" l="1"/>
  <c r="H56" i="1"/>
  <c r="A58" i="1"/>
  <c r="H57" i="1" a="1"/>
  <c r="G58" i="1" a="1"/>
  <c r="G58" i="1" l="1"/>
  <c r="H57" i="1"/>
  <c r="A59" i="1"/>
  <c r="H58" i="1" a="1"/>
  <c r="G59" i="1" a="1"/>
  <c r="G59" i="1" l="1"/>
  <c r="H58" i="1"/>
  <c r="A60" i="1"/>
  <c r="H59" i="1" a="1"/>
  <c r="G60" i="1" a="1"/>
  <c r="G60" i="1" l="1"/>
  <c r="H59" i="1"/>
  <c r="A61" i="1"/>
  <c r="H60" i="1" a="1"/>
  <c r="G61" i="1" a="1"/>
  <c r="G61" i="1" l="1"/>
  <c r="H60" i="1"/>
  <c r="A62" i="1"/>
  <c r="H61" i="1" a="1"/>
  <c r="G62" i="1" a="1"/>
  <c r="G62" i="1" l="1"/>
  <c r="H61" i="1"/>
  <c r="A63" i="1"/>
  <c r="G63" i="1" a="1"/>
  <c r="H62" i="1" a="1"/>
  <c r="G63" i="1" l="1"/>
  <c r="H62" i="1"/>
  <c r="A64" i="1"/>
  <c r="H63" i="1" a="1"/>
  <c r="G64" i="1" a="1"/>
  <c r="G64" i="1" l="1"/>
  <c r="H63" i="1"/>
  <c r="A65" i="1"/>
  <c r="H64" i="1" a="1"/>
  <c r="G65" i="1" a="1"/>
  <c r="G65" i="1" l="1"/>
  <c r="H64" i="1"/>
  <c r="A66" i="1"/>
  <c r="H65" i="1" a="1"/>
  <c r="G66" i="1" a="1"/>
  <c r="G66" i="1" l="1"/>
  <c r="H65" i="1"/>
  <c r="A67" i="1"/>
  <c r="H66" i="1" a="1"/>
  <c r="G67" i="1" a="1"/>
  <c r="G67" i="1" l="1"/>
  <c r="H66" i="1"/>
  <c r="A68" i="1"/>
  <c r="H67" i="1" a="1"/>
  <c r="G68" i="1" a="1"/>
  <c r="G68" i="1" l="1"/>
  <c r="H67" i="1"/>
  <c r="A69" i="1"/>
  <c r="H68" i="1" a="1"/>
  <c r="G69" i="1" a="1"/>
  <c r="G69" i="1" l="1"/>
  <c r="H68" i="1"/>
  <c r="A70" i="1"/>
  <c r="H69" i="1" a="1"/>
  <c r="G70" i="1" a="1"/>
  <c r="G70" i="1" l="1"/>
  <c r="H69" i="1"/>
  <c r="A71" i="1"/>
  <c r="G71" i="1" a="1"/>
  <c r="H70" i="1" a="1"/>
  <c r="G71" i="1" l="1"/>
  <c r="H70" i="1"/>
  <c r="A72" i="1"/>
  <c r="H71" i="1" a="1"/>
  <c r="G72" i="1" a="1"/>
  <c r="G72" i="1" l="1"/>
  <c r="H71" i="1"/>
  <c r="A73" i="1"/>
  <c r="H72" i="1" a="1"/>
  <c r="G73" i="1" a="1"/>
  <c r="G73" i="1" l="1"/>
  <c r="H72" i="1"/>
  <c r="A74" i="1"/>
  <c r="H73" i="1" a="1"/>
  <c r="G74" i="1" a="1"/>
  <c r="G74" i="1" l="1"/>
  <c r="H73" i="1"/>
  <c r="A75" i="1"/>
  <c r="H74" i="1" a="1"/>
  <c r="G75" i="1" a="1"/>
  <c r="G75" i="1" l="1"/>
  <c r="H74" i="1"/>
  <c r="A76" i="1"/>
  <c r="H75" i="1" a="1"/>
  <c r="G76" i="1" a="1"/>
  <c r="G76" i="1" l="1"/>
  <c r="H75" i="1"/>
  <c r="A77" i="1"/>
  <c r="H76" i="1" a="1"/>
  <c r="G77" i="1" a="1"/>
  <c r="G77" i="1" l="1"/>
  <c r="H76" i="1"/>
  <c r="A78" i="1"/>
  <c r="H77" i="1" a="1"/>
  <c r="G78" i="1" a="1"/>
  <c r="G78" i="1" l="1"/>
  <c r="H77" i="1"/>
  <c r="A79" i="1"/>
  <c r="H78" i="1" a="1"/>
  <c r="G79" i="1" a="1"/>
  <c r="G79" i="1" l="1"/>
  <c r="H78" i="1"/>
  <c r="A80" i="1"/>
  <c r="H79" i="1" a="1"/>
  <c r="G80" i="1" a="1"/>
  <c r="G80" i="1" l="1"/>
  <c r="H79" i="1"/>
  <c r="A81" i="1"/>
  <c r="H80" i="1" a="1"/>
  <c r="G81" i="1" a="1"/>
  <c r="G81" i="1" l="1"/>
  <c r="H80" i="1"/>
  <c r="A82" i="1"/>
  <c r="H81" i="1" a="1"/>
  <c r="G82" i="1" a="1"/>
  <c r="G82" i="1" l="1"/>
  <c r="H81" i="1"/>
  <c r="A83" i="1"/>
  <c r="H82" i="1" a="1"/>
  <c r="G83" i="1" a="1"/>
  <c r="G83" i="1" l="1"/>
  <c r="H82" i="1"/>
  <c r="A84" i="1"/>
  <c r="H83" i="1" a="1"/>
  <c r="G84" i="1" a="1"/>
  <c r="G84" i="1" l="1"/>
  <c r="H83" i="1"/>
  <c r="A85" i="1"/>
  <c r="H84" i="1" a="1"/>
  <c r="G85" i="1" a="1"/>
  <c r="G85" i="1" l="1"/>
  <c r="H84" i="1"/>
  <c r="A86" i="1"/>
  <c r="H85" i="1" a="1"/>
  <c r="G86" i="1" a="1"/>
  <c r="G86" i="1" l="1"/>
  <c r="H85" i="1"/>
  <c r="A87" i="1"/>
  <c r="H86" i="1" a="1"/>
  <c r="G87" i="1" a="1"/>
  <c r="G87" i="1" l="1"/>
  <c r="H86" i="1"/>
  <c r="A88" i="1"/>
  <c r="H87" i="1" a="1"/>
  <c r="G88" i="1" a="1"/>
  <c r="G88" i="1" l="1"/>
  <c r="H87" i="1"/>
  <c r="A89" i="1"/>
  <c r="H88" i="1" a="1"/>
  <c r="G89" i="1" a="1"/>
  <c r="G89" i="1" l="1"/>
  <c r="H88" i="1"/>
  <c r="A90" i="1"/>
  <c r="H89" i="1" a="1"/>
  <c r="G90" i="1" a="1"/>
  <c r="G90" i="1" l="1"/>
  <c r="H89" i="1"/>
  <c r="A91" i="1"/>
  <c r="H90" i="1" a="1"/>
  <c r="G91" i="1" a="1"/>
  <c r="G91" i="1" l="1"/>
  <c r="H90" i="1"/>
  <c r="A92" i="1"/>
  <c r="H91" i="1" a="1"/>
  <c r="G92" i="1" a="1"/>
  <c r="G92" i="1" l="1"/>
  <c r="H91" i="1"/>
  <c r="A93" i="1"/>
  <c r="H92" i="1" a="1"/>
  <c r="G93" i="1" a="1"/>
  <c r="G93" i="1" l="1"/>
  <c r="H92" i="1"/>
  <c r="A94" i="1"/>
  <c r="H93" i="1" a="1"/>
  <c r="G94" i="1" a="1"/>
  <c r="G94" i="1" l="1"/>
  <c r="H93" i="1"/>
  <c r="A95" i="1"/>
  <c r="H94" i="1" a="1"/>
  <c r="G95" i="1" a="1"/>
  <c r="G95" i="1" l="1"/>
  <c r="H94" i="1"/>
  <c r="A96" i="1"/>
  <c r="H95" i="1" a="1"/>
  <c r="G96" i="1" a="1"/>
  <c r="G96" i="1" l="1"/>
  <c r="H95" i="1"/>
  <c r="A97" i="1"/>
  <c r="H96" i="1" a="1"/>
  <c r="G97" i="1" a="1"/>
  <c r="G97" i="1" l="1"/>
  <c r="H96" i="1"/>
  <c r="A98" i="1"/>
  <c r="H97" i="1" a="1"/>
  <c r="G98" i="1" a="1"/>
  <c r="G98" i="1" l="1"/>
  <c r="H97" i="1"/>
  <c r="A99" i="1"/>
  <c r="H98" i="1" a="1"/>
  <c r="G99" i="1" a="1"/>
  <c r="G99" i="1" l="1"/>
  <c r="H98" i="1"/>
  <c r="A100" i="1"/>
  <c r="H99" i="1" a="1"/>
  <c r="G100" i="1" a="1"/>
  <c r="G100" i="1" l="1"/>
  <c r="H99" i="1"/>
  <c r="A101" i="1"/>
  <c r="H100" i="1" a="1"/>
  <c r="G101" i="1" a="1"/>
  <c r="G101" i="1" l="1"/>
  <c r="H100" i="1"/>
  <c r="A102" i="1"/>
  <c r="H101" i="1" a="1"/>
  <c r="G102" i="1" a="1"/>
  <c r="G102" i="1" l="1"/>
  <c r="H101" i="1"/>
  <c r="A103" i="1"/>
  <c r="G103" i="1" a="1"/>
  <c r="H102" i="1" a="1"/>
  <c r="G103" i="1" l="1"/>
  <c r="H102" i="1"/>
  <c r="A104" i="1"/>
  <c r="H103" i="1" a="1"/>
  <c r="G104" i="1" a="1"/>
  <c r="G104" i="1" l="1"/>
  <c r="H103" i="1"/>
  <c r="A105" i="1"/>
  <c r="H104" i="1" a="1"/>
  <c r="G105" i="1" a="1"/>
  <c r="G105" i="1" l="1"/>
  <c r="H104" i="1"/>
  <c r="A106" i="1"/>
  <c r="H105" i="1" a="1"/>
  <c r="G106" i="1" a="1"/>
  <c r="G106" i="1" l="1"/>
  <c r="H105" i="1"/>
  <c r="A107" i="1"/>
  <c r="H106" i="1" a="1"/>
  <c r="G107" i="1" a="1"/>
  <c r="G107" i="1" l="1"/>
  <c r="H106" i="1"/>
  <c r="A108" i="1"/>
  <c r="H107" i="1" a="1"/>
  <c r="G108" i="1" a="1"/>
  <c r="G108" i="1" l="1"/>
  <c r="H107" i="1"/>
  <c r="A109" i="1"/>
  <c r="H108" i="1" a="1"/>
  <c r="G109" i="1" a="1"/>
  <c r="G109" i="1" l="1"/>
  <c r="H108" i="1"/>
  <c r="A110" i="1"/>
  <c r="H109" i="1" a="1"/>
  <c r="G110" i="1" a="1"/>
  <c r="G110" i="1" l="1"/>
  <c r="H109" i="1"/>
  <c r="A111" i="1"/>
  <c r="H110" i="1" a="1"/>
  <c r="G111" i="1" a="1"/>
  <c r="G111" i="1" l="1"/>
  <c r="H110" i="1"/>
  <c r="A112" i="1"/>
  <c r="H111" i="1" a="1"/>
  <c r="G112" i="1" a="1"/>
  <c r="G112" i="1" l="1"/>
  <c r="H111" i="1"/>
  <c r="A113" i="1"/>
  <c r="H112" i="1" a="1"/>
  <c r="G113" i="1" a="1"/>
  <c r="G113" i="1" l="1"/>
  <c r="H112" i="1"/>
  <c r="A114" i="1"/>
  <c r="H113" i="1" a="1"/>
  <c r="G114" i="1" a="1"/>
  <c r="G114" i="1" l="1"/>
  <c r="H113" i="1"/>
  <c r="A115" i="1"/>
  <c r="H114" i="1" a="1"/>
  <c r="G115" i="1" a="1"/>
  <c r="G115" i="1" l="1"/>
  <c r="H114" i="1"/>
  <c r="A116" i="1"/>
  <c r="H115" i="1" a="1"/>
  <c r="G116" i="1" a="1"/>
  <c r="G116" i="1" l="1"/>
  <c r="H115" i="1"/>
  <c r="A117" i="1"/>
  <c r="H116" i="1" a="1"/>
  <c r="G117" i="1" a="1"/>
  <c r="G117" i="1" l="1"/>
  <c r="H116" i="1"/>
  <c r="A118" i="1"/>
  <c r="G118" i="1" a="1"/>
  <c r="H117" i="1" a="1"/>
  <c r="H117" i="1" l="1"/>
  <c r="G118" i="1"/>
  <c r="A119" i="1"/>
  <c r="H118" i="1" a="1"/>
  <c r="G119" i="1" a="1"/>
  <c r="G119" i="1" l="1"/>
  <c r="H118" i="1"/>
  <c r="A120" i="1"/>
  <c r="H119" i="1" a="1"/>
  <c r="G120" i="1" a="1"/>
  <c r="G120" i="1" l="1"/>
  <c r="H119" i="1"/>
  <c r="A121" i="1"/>
  <c r="H120" i="1" a="1"/>
  <c r="G121" i="1" a="1"/>
  <c r="G121" i="1" l="1"/>
  <c r="H120" i="1"/>
  <c r="A122" i="1"/>
  <c r="H121" i="1" a="1"/>
  <c r="G122" i="1" a="1"/>
  <c r="G122" i="1" l="1"/>
  <c r="H121" i="1"/>
  <c r="A123" i="1"/>
  <c r="H122" i="1" a="1"/>
  <c r="G123" i="1" a="1"/>
  <c r="G123" i="1" l="1"/>
  <c r="H122" i="1"/>
  <c r="A124" i="1"/>
  <c r="G124" i="1" a="1"/>
  <c r="H123" i="1" a="1"/>
  <c r="G124" i="1" l="1"/>
  <c r="H123" i="1"/>
  <c r="A125" i="1"/>
  <c r="G125" i="1" a="1"/>
  <c r="H124" i="1" a="1"/>
  <c r="H124" i="1" l="1"/>
  <c r="G125" i="1"/>
  <c r="A126" i="1"/>
  <c r="H125" i="1" a="1"/>
  <c r="G126" i="1" a="1"/>
  <c r="G126" i="1" l="1"/>
  <c r="H125" i="1"/>
  <c r="A127" i="1"/>
  <c r="H126" i="1" a="1"/>
  <c r="G127" i="1" a="1"/>
  <c r="G127" i="1" l="1"/>
  <c r="H126" i="1"/>
  <c r="A128" i="1"/>
  <c r="H127" i="1" a="1"/>
  <c r="G128" i="1" a="1"/>
  <c r="G128" i="1" l="1"/>
  <c r="H127" i="1"/>
  <c r="A129" i="1"/>
  <c r="H128" i="1" a="1"/>
  <c r="G129" i="1" a="1"/>
  <c r="G129" i="1" l="1"/>
  <c r="H128" i="1"/>
  <c r="A130" i="1"/>
  <c r="H129" i="1" a="1"/>
  <c r="G130" i="1" a="1"/>
  <c r="G130" i="1" l="1"/>
  <c r="H129" i="1"/>
  <c r="A131" i="1"/>
  <c r="H130" i="1" a="1"/>
  <c r="G131" i="1" a="1"/>
  <c r="G131" i="1" l="1"/>
  <c r="H130" i="1"/>
  <c r="A132" i="1"/>
  <c r="H131" i="1" a="1"/>
  <c r="G132" i="1" a="1"/>
  <c r="G132" i="1" l="1"/>
  <c r="H131" i="1"/>
  <c r="A133" i="1"/>
  <c r="H132" i="1" a="1"/>
  <c r="G133" i="1" a="1"/>
  <c r="G133" i="1" l="1"/>
  <c r="H132" i="1"/>
  <c r="A134" i="1"/>
  <c r="G134" i="1" a="1"/>
  <c r="H133" i="1" a="1"/>
  <c r="G134" i="1" l="1"/>
  <c r="H133" i="1"/>
  <c r="A135" i="1"/>
  <c r="H134" i="1" a="1"/>
  <c r="G135" i="1" a="1"/>
  <c r="G135" i="1" l="1"/>
  <c r="H134" i="1"/>
  <c r="A136" i="1"/>
  <c r="H135" i="1" a="1"/>
  <c r="G136" i="1" a="1"/>
  <c r="G136" i="1" l="1"/>
  <c r="H135" i="1"/>
  <c r="A137" i="1"/>
  <c r="H136" i="1" a="1"/>
  <c r="G137" i="1" a="1"/>
  <c r="G137" i="1" l="1"/>
  <c r="H136" i="1"/>
  <c r="A138" i="1"/>
  <c r="H137" i="1" a="1"/>
  <c r="G138" i="1" a="1"/>
  <c r="G138" i="1" l="1"/>
  <c r="H137" i="1"/>
  <c r="A139" i="1"/>
  <c r="H138" i="1" a="1"/>
  <c r="G139" i="1" a="1"/>
  <c r="G139" i="1" l="1"/>
  <c r="H138" i="1"/>
  <c r="A140" i="1"/>
  <c r="G140" i="1" a="1"/>
  <c r="H139" i="1" a="1"/>
  <c r="G140" i="1" l="1"/>
  <c r="H139" i="1"/>
  <c r="A141" i="1"/>
  <c r="H140" i="1" a="1"/>
  <c r="G141" i="1" a="1"/>
  <c r="G141" i="1" l="1"/>
  <c r="H140" i="1"/>
  <c r="A142" i="1"/>
  <c r="H141" i="1" a="1"/>
  <c r="G142" i="1" a="1"/>
  <c r="G142" i="1" l="1"/>
  <c r="H141" i="1"/>
  <c r="A143" i="1"/>
  <c r="G143" i="1" a="1"/>
  <c r="H142" i="1" a="1"/>
  <c r="H142" i="1" l="1"/>
  <c r="G143" i="1"/>
  <c r="A144" i="1"/>
  <c r="H143" i="1" a="1"/>
  <c r="G144" i="1" a="1"/>
  <c r="G144" i="1" l="1"/>
  <c r="H143" i="1"/>
  <c r="A145" i="1"/>
  <c r="H144" i="1" a="1"/>
  <c r="G145" i="1" a="1"/>
  <c r="G145" i="1" l="1"/>
  <c r="H144" i="1"/>
  <c r="A146" i="1"/>
  <c r="G146" i="1" a="1"/>
  <c r="H145" i="1" a="1"/>
  <c r="G146" i="1" l="1"/>
  <c r="H145" i="1"/>
  <c r="A147" i="1"/>
  <c r="H146" i="1" a="1"/>
  <c r="G147" i="1" a="1"/>
  <c r="G147" i="1" l="1"/>
  <c r="H146" i="1"/>
  <c r="A148" i="1"/>
  <c r="H147" i="1" a="1"/>
  <c r="G148" i="1" a="1"/>
  <c r="G148" i="1" l="1"/>
  <c r="H147" i="1"/>
  <c r="A149" i="1"/>
  <c r="H148" i="1" a="1"/>
  <c r="G149" i="1" a="1"/>
  <c r="G149" i="1" l="1"/>
  <c r="H148" i="1"/>
  <c r="A150" i="1"/>
  <c r="H149" i="1" a="1"/>
  <c r="G150" i="1" a="1"/>
  <c r="G150" i="1" l="1"/>
  <c r="H149" i="1"/>
  <c r="A151" i="1"/>
  <c r="H150" i="1" a="1"/>
  <c r="G151" i="1" a="1"/>
  <c r="G151" i="1" l="1"/>
  <c r="H150" i="1"/>
  <c r="H151" i="1" a="1"/>
  <c r="H15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<sst xmlns="http://schemas.openxmlformats.org/spreadsheetml/2006/main" count="8" uniqueCount="8">
  <si>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degF</t>
  </si>
  <si>
    <t>psia</t>
  </si>
  <si>
    <t>CO2</t>
  </si>
  <si>
    <t>H2S</t>
  </si>
  <si>
    <t>N2</t>
  </si>
  <si>
    <t>Z</t>
  </si>
  <si>
    <t>Visc (cP)</t>
  </si>
  <si>
    <t>Gas Mixture SG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</si>
</sst>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Z and Viscosity vs Pressure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87270341207349"/>
          <c:y val="0.14474146341463415"/>
          <c:w val="0.72358792650918635"/>
          <c:h val="0.72180126752448626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Sheet1!$G$1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Sheet1!$B$2:$B$151</c:f>
              <c:numCache>
                <c:formatCode>General</c:formatCode>
                <c:ptCount val="15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</c:numCache>
            </c:numRef>
          </c:xVal>
          <c:yVal>
            <c:numRef>
              <c:f>Sheet1!$G$2:$G$151</c:f>
              <c:numCache>
                <c:formatCode>General</c:formatCode>
                <c:ptCount val="150"/>
                <c:pt idx="0">
                  <c:v>0.97794714087585255</c:v>
                </c:pt>
                <c:pt idx="1">
                  <c:v>0.95558562279611425</c:v>
                </c:pt>
                <c:pt idx="2">
                  <c:v>0.93289787635776278</c:v>
                </c:pt>
                <c:pt idx="3">
                  <c:v>0.90986595743843302</c:v>
                </c:pt>
                <c:pt idx="4">
                  <c:v>0.88647209341497168</c:v>
                </c:pt>
                <c:pt idx="5">
                  <c:v>0.86269959692919662</c:v>
                </c:pt>
                <c:pt idx="6">
                  <c:v>0.83853436034323059</c:v>
                </c:pt>
                <c:pt idx="7">
                  <c:v>0.81396726789315343</c:v>
                </c:pt>
                <c:pt idx="8">
                  <c:v>0.7889980565446908</c:v>
                </c:pt>
                <c:pt idx="9">
                  <c:v>0.7636414519154181</c:v>
                </c:pt>
                <c:pt idx="10">
                  <c:v>0.73793682794857485</c:v>
                </c:pt>
                <c:pt idx="11">
                  <c:v>0.71196315942673538</c:v>
                </c:pt>
                <c:pt idx="12">
                  <c:v>0.68586142543925255</c:v>
                </c:pt>
                <c:pt idx="13">
                  <c:v>0.65986609297106325</c:v>
                </c:pt>
                <c:pt idx="14">
                  <c:v>0.63434388854046941</c:v>
                </c:pt>
                <c:pt idx="15">
                  <c:v>0.60982832046414559</c:v>
                </c:pt>
                <c:pt idx="16">
                  <c:v>0.58702061658847426</c:v>
                </c:pt>
                <c:pt idx="17">
                  <c:v>0.56671357052393989</c:v>
                </c:pt>
                <c:pt idx="18">
                  <c:v>0.54961971813597654</c:v>
                </c:pt>
                <c:pt idx="19">
                  <c:v>0.53616901197736189</c:v>
                </c:pt>
                <c:pt idx="20">
                  <c:v>0.52640446454768586</c:v>
                </c:pt>
                <c:pt idx="21">
                  <c:v>0.52003808014921582</c:v>
                </c:pt>
                <c:pt idx="22">
                  <c:v>0.51660055377871605</c:v>
                </c:pt>
                <c:pt idx="23">
                  <c:v>0.51558169967849876</c:v>
                </c:pt>
                <c:pt idx="24">
                  <c:v>0.5165138554719344</c:v>
                </c:pt>
                <c:pt idx="25">
                  <c:v>0.51900390966835708</c:v>
                </c:pt>
                <c:pt idx="26">
                  <c:v>0.52273579817269911</c:v>
                </c:pt>
                <c:pt idx="27">
                  <c:v>0.52746070984955162</c:v>
                </c:pt>
                <c:pt idx="28">
                  <c:v>0.53298428729274927</c:v>
                </c:pt>
                <c:pt idx="29">
                  <c:v>0.53915472642881057</c:v>
                </c:pt>
                <c:pt idx="30">
                  <c:v>0.54585296414587481</c:v>
                </c:pt>
                <c:pt idx="31">
                  <c:v>0.55298500994830402</c:v>
                </c:pt>
                <c:pt idx="32">
                  <c:v>0.56047609933928477</c:v>
                </c:pt>
                <c:pt idx="33">
                  <c:v>0.56826628060207962</c:v>
                </c:pt>
                <c:pt idx="34">
                  <c:v>0.57630709018220661</c:v>
                </c:pt>
                <c:pt idx="35">
                  <c:v>0.58455904172145257</c:v>
                </c:pt>
                <c:pt idx="36">
                  <c:v>0.59298971980215265</c:v>
                </c:pt>
                <c:pt idx="37">
                  <c:v>0.60157232317444587</c:v>
                </c:pt>
                <c:pt idx="38">
                  <c:v>0.61028454325567449</c:v>
                </c:pt>
                <c:pt idx="39">
                  <c:v>0.61910769407923227</c:v>
                </c:pt>
                <c:pt idx="40">
                  <c:v>0.62802603206948837</c:v>
                </c:pt>
                <c:pt idx="41">
                  <c:v>0.63702622015045873</c:v>
                </c:pt>
                <c:pt idx="42">
                  <c:v>0.64609690241439655</c:v>
                </c:pt>
                <c:pt idx="43">
                  <c:v>0.65522836411314234</c:v>
                </c:pt>
                <c:pt idx="44">
                  <c:v>0.66441225798264558</c:v>
                </c:pt>
                <c:pt idx="45">
                  <c:v>0.67364138250967398</c:v>
                </c:pt>
                <c:pt idx="46">
                  <c:v>0.68290950115628524</c:v>
                </c:pt>
                <c:pt idx="47">
                  <c:v>0.69221119409816656</c:v>
                </c:pt>
                <c:pt idx="48">
                  <c:v>0.70154173594073754</c:v>
                </c:pt>
                <c:pt idx="49">
                  <c:v>0.71089699431939224</c:v>
                </c:pt>
                <c:pt idx="50">
                  <c:v>0.72027334538845555</c:v>
                </c:pt>
                <c:pt idx="51">
                  <c:v>0.72966760304504019</c:v>
                </c:pt>
                <c:pt idx="52">
                  <c:v>0.7390769593832458</c:v>
                </c:pt>
                <c:pt idx="53">
                  <c:v>0.74849893437814219</c:v>
                </c:pt>
                <c:pt idx="54">
                  <c:v>0.75793133319262029</c:v>
                </c:pt>
                <c:pt idx="55">
                  <c:v>0.76737220980949095</c:v>
                </c:pt>
                <c:pt idx="56">
                  <c:v>0.77681983593557313</c:v>
                </c:pt>
                <c:pt idx="57">
                  <c:v>0.78627267431868031</c:v>
                </c:pt>
                <c:pt idx="58">
                  <c:v>0.79572935577346526</c:v>
                </c:pt>
                <c:pt idx="59">
                  <c:v>0.8051886593365688</c:v>
                </c:pt>
                <c:pt idx="60">
                  <c:v>0.81464949507191953</c:v>
                </c:pt>
                <c:pt idx="61">
                  <c:v>0.82411088912839214</c:v>
                </c:pt>
                <c:pt idx="62">
                  <c:v>0.83357197071828781</c:v>
                </c:pt>
                <c:pt idx="63">
                  <c:v>0.84303196073923714</c:v>
                </c:pt>
                <c:pt idx="64">
                  <c:v>0.85249016180660142</c:v>
                </c:pt>
                <c:pt idx="65">
                  <c:v>0.86194594950009074</c:v>
                </c:pt>
                <c:pt idx="66">
                  <c:v>0.87139876465863753</c:v>
                </c:pt>
                <c:pt idx="67">
                  <c:v>0.8808481065827527</c:v>
                </c:pt>
                <c:pt idx="68">
                  <c:v>0.89029352702457576</c:v>
                </c:pt>
                <c:pt idx="69">
                  <c:v>0.89973462486339928</c:v>
                </c:pt>
                <c:pt idx="70">
                  <c:v>0.90917104137915261</c:v>
                </c:pt>
                <c:pt idx="71">
                  <c:v>0.91860245604875024</c:v>
                </c:pt>
                <c:pt idx="72">
                  <c:v>0.92802858280067757</c:v>
                </c:pt>
                <c:pt idx="73">
                  <c:v>0.93744916667203437</c:v>
                </c:pt>
                <c:pt idx="74">
                  <c:v>0.94686398081981538</c:v>
                </c:pt>
                <c:pt idx="75">
                  <c:v>0.956272823844591</c:v>
                </c:pt>
                <c:pt idx="76">
                  <c:v>0.96567551739025048</c:v>
                </c:pt>
                <c:pt idx="77">
                  <c:v>0.97507190398814392</c:v>
                </c:pt>
                <c:pt idx="78">
                  <c:v>0.98446184511798973</c:v>
                </c:pt>
                <c:pt idx="79">
                  <c:v>0.99384521946137494</c:v>
                </c:pt>
                <c:pt idx="80">
                  <c:v>1.0032219213266595</c:v>
                </c:pt>
                <c:pt idx="81">
                  <c:v>1.0125918592266763</c:v>
                </c:pt>
                <c:pt idx="82">
                  <c:v>1.0219549545928595</c:v>
                </c:pt>
                <c:pt idx="83">
                  <c:v>1.0313111406113638</c:v>
                </c:pt>
                <c:pt idx="84">
                  <c:v>1.0406603611684315</c:v>
                </c:pt>
                <c:pt idx="85">
                  <c:v>1.0500025698937407</c:v>
                </c:pt>
                <c:pt idx="86">
                  <c:v>1.0593377292917281</c:v>
                </c:pt>
                <c:pt idx="87">
                  <c:v>1.0686658099520505</c:v>
                </c:pt>
                <c:pt idx="88">
                  <c:v>1.0779867898312701</c:v>
                </c:pt>
                <c:pt idx="89">
                  <c:v>1.0873006535987799</c:v>
                </c:pt>
                <c:pt idx="90">
                  <c:v>1.0966073920406934</c:v>
                </c:pt>
                <c:pt idx="91">
                  <c:v>1.1059070015161259</c:v>
                </c:pt>
                <c:pt idx="92">
                  <c:v>1.1151994834608723</c:v>
                </c:pt>
                <c:pt idx="93">
                  <c:v>1.1244848439340076</c:v>
                </c:pt>
                <c:pt idx="94">
                  <c:v>1.1337630932034108</c:v>
                </c:pt>
                <c:pt idx="95">
                  <c:v>1.1430342453666067</c:v>
                </c:pt>
                <c:pt idx="96">
                  <c:v>1.1522983180037034</c:v>
                </c:pt>
                <c:pt idx="97">
                  <c:v>1.161555331859508</c:v>
                </c:pt>
                <c:pt idx="98">
                  <c:v>1.1708053105522085</c:v>
                </c:pt>
                <c:pt idx="99">
                  <c:v>1.1800482803062451</c:v>
                </c:pt>
                <c:pt idx="100">
                  <c:v>1.1892842697072599</c:v>
                </c:pt>
                <c:pt idx="101">
                  <c:v>1.198513309477178</c:v>
                </c:pt>
                <c:pt idx="102">
                  <c:v>1.2077354322676792</c:v>
                </c:pt>
                <c:pt idx="103">
                  <c:v>1.2169506724704815</c:v>
                </c:pt>
                <c:pt idx="104">
                  <c:v>1.2261590660430073</c:v>
                </c:pt>
                <c:pt idx="105">
                  <c:v>1.2353606503481367</c:v>
                </c:pt>
                <c:pt idx="106">
                  <c:v>1.2445554640068404</c:v>
                </c:pt>
                <c:pt idx="107">
                  <c:v>1.2537435467626499</c:v>
                </c:pt>
                <c:pt idx="108">
                  <c:v>1.2629249393569821</c:v>
                </c:pt>
                <c:pt idx="109">
                  <c:v>1.2720996834143983</c:v>
                </c:pt>
                <c:pt idx="110">
                  <c:v>1.2812678213370345</c:v>
                </c:pt>
                <c:pt idx="111">
                  <c:v>1.2904293962074265</c:v>
                </c:pt>
                <c:pt idx="112">
                  <c:v>1.2995844516990651</c:v>
                </c:pt>
                <c:pt idx="113">
                  <c:v>1.3087330319940609</c:v>
                </c:pt>
                <c:pt idx="114">
                  <c:v>1.3178751817073646</c:v>
                </c:pt>
                <c:pt idx="115">
                  <c:v>1.3270109458170309</c:v>
                </c:pt>
                <c:pt idx="116">
                  <c:v>1.3361403696000056</c:v>
                </c:pt>
                <c:pt idx="117">
                  <c:v>1.3452634985730709</c:v>
                </c:pt>
                <c:pt idx="118">
                  <c:v>1.3543803784384987</c:v>
                </c:pt>
                <c:pt idx="119">
                  <c:v>1.3634910550340864</c:v>
                </c:pt>
                <c:pt idx="120">
                  <c:v>1.3725955742871943</c:v>
                </c:pt>
                <c:pt idx="121">
                  <c:v>1.3816939821725087</c:v>
                </c:pt>
                <c:pt idx="122">
                  <c:v>1.3907863246732657</c:v>
                </c:pt>
                <c:pt idx="123">
                  <c:v>1.3998726477456251</c:v>
                </c:pt>
                <c:pt idx="124">
                  <c:v>1.4089529972859629</c:v>
                </c:pt>
                <c:pt idx="125">
                  <c:v>1.418027419100949</c:v>
                </c:pt>
                <c:pt idx="126">
                  <c:v>1.4270959588800338</c:v>
                </c:pt>
                <c:pt idx="127">
                  <c:v>1.4361586621703675</c:v>
                </c:pt>
                <c:pt idx="128">
                  <c:v>1.445215574353792</c:v>
                </c:pt>
                <c:pt idx="129">
                  <c:v>1.4542667406258341</c:v>
                </c:pt>
                <c:pt idx="130">
                  <c:v>1.463312205976586</c:v>
                </c:pt>
                <c:pt idx="131">
                  <c:v>1.4723520151732599</c:v>
                </c:pt>
                <c:pt idx="132">
                  <c:v>1.4813862127443076</c:v>
                </c:pt>
                <c:pt idx="133">
                  <c:v>1.4904148429650581</c:v>
                </c:pt>
                <c:pt idx="134">
                  <c:v>1.4994379498446451</c:v>
                </c:pt>
                <c:pt idx="135">
                  <c:v>1.50845557711426</c:v>
                </c:pt>
                <c:pt idx="136">
                  <c:v>1.517467768216527</c:v>
                </c:pt>
                <c:pt idx="137">
                  <c:v>1.5264745662959338</c:v>
                </c:pt>
                <c:pt idx="138">
                  <c:v>1.5354760141903863</c:v>
                </c:pt>
                <c:pt idx="139">
                  <c:v>1.5444721544234918</c:v>
                </c:pt>
                <c:pt idx="140">
                  <c:v>1.5534630291979075</c:v>
                </c:pt>
                <c:pt idx="141">
                  <c:v>1.562448680389235</c:v>
                </c:pt>
                <c:pt idx="142">
                  <c:v>1.5714291495410326</c:v>
                </c:pt>
                <c:pt idx="143">
                  <c:v>1.5804044778601629</c:v>
                </c:pt>
                <c:pt idx="144">
                  <c:v>1.5893747062128329</c:v>
                </c:pt>
                <c:pt idx="145">
                  <c:v>1.5983398751215776</c:v>
                </c:pt>
                <c:pt idx="146">
                  <c:v>1.6073000247613756</c:v>
                </c:pt>
                <c:pt idx="147">
                  <c:v>1.6162551949633139</c:v>
                </c:pt>
                <c:pt idx="148">
                  <c:v>1.6252054254164912</c:v>
                </c:pt>
                <c:pt idx="149">
                  <c:v>1.6341507545832932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CA-4747-8BCD-8A38E695B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202031"/>
        <c:axId val="1390202511"/>
      </c:scatterChart>
      <c:scatterChart>
        <c:scatterStyle val="lineMarker"/>
        <c:varyColors val="0"/>
        <c:ser>
          <c:idx val="1"/>
          <c:order val="1"/>
          <c:tx>
            <c:strRef>
              <c:f>Sheet1!$H$1</c:f>
              <c:strCache>
                <c:ptCount val="1"/>
                <c:pt idx="0">
                  <c:v>Visc (cP)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Sheet1!$B$2:$B$151</c:f>
              <c:numCache>
                <c:formatCode>General</c:formatCode>
                <c:ptCount val="15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</c:numCache>
            </c:numRef>
          </c:xVal>
          <c:yVal>
            <c:numRef>
              <c:f>Sheet1!$H$2:$H$151</c:f>
              <c:numCache>
                <c:formatCode>General</c:formatCode>
                <c:ptCount val="150"/>
                <c:pt idx="0">
                  <c:v>1.4014579231987527E-2</c:v>
                </c:pt>
                <c:pt idx="1">
                  <c:v>1.4110662705684262E-2</c:v>
                </c:pt>
                <c:pt idx="2">
                  <c:v>1.4222832022842559E-2</c:v>
                </c:pt>
                <c:pt idx="3">
                  <c:v>1.4353525766828992E-2</c:v>
                </c:pt>
                <c:pt idx="4">
                  <c:v>1.450570961030713E-2</c:v>
                </c:pt>
                <c:pt idx="5">
                  <c:v>1.4683014259198402E-2</c:v>
                </c:pt>
                <c:pt idx="6">
                  <c:v>1.4889913696874493E-2</c:v>
                </c:pt>
                <c:pt idx="7">
                  <c:v>1.5131954652428163E-2</c:v>
                </c:pt>
                <c:pt idx="8">
                  <c:v>1.5416048662318058E-2</c:v>
                </c:pt>
                <c:pt idx="9">
                  <c:v>1.5750834476214313E-2</c:v>
                </c:pt>
                <c:pt idx="10">
                  <c:v>1.6147104533019575E-2</c:v>
                </c:pt>
                <c:pt idx="11">
                  <c:v>1.6618251377763932E-2</c:v>
                </c:pt>
                <c:pt idx="12">
                  <c:v>1.7180602721169135E-2</c:v>
                </c:pt>
                <c:pt idx="13">
                  <c:v>1.7853338559456387E-2</c:v>
                </c:pt>
                <c:pt idx="14">
                  <c:v>1.8657393867040163E-2</c:v>
                </c:pt>
                <c:pt idx="15">
                  <c:v>1.9612445145161816E-2</c:v>
                </c:pt>
                <c:pt idx="16">
                  <c:v>2.0731237433855874E-2</c:v>
                </c:pt>
                <c:pt idx="17">
                  <c:v>2.2012067180412074E-2</c:v>
                </c:pt>
                <c:pt idx="18">
                  <c:v>2.3433324857698012E-2</c:v>
                </c:pt>
                <c:pt idx="19">
                  <c:v>2.4955410039165099E-2</c:v>
                </c:pt>
                <c:pt idx="20">
                  <c:v>2.6530773386497411E-2</c:v>
                </c:pt>
                <c:pt idx="21">
                  <c:v>2.8115861112594096E-2</c:v>
                </c:pt>
                <c:pt idx="22">
                  <c:v>2.9678220158034094E-2</c:v>
                </c:pt>
                <c:pt idx="23">
                  <c:v>3.119750744012886E-2</c:v>
                </c:pt>
                <c:pt idx="24">
                  <c:v>3.2663073579847525E-2</c:v>
                </c:pt>
                <c:pt idx="25">
                  <c:v>3.4070817611255071E-2</c:v>
                </c:pt>
                <c:pt idx="26">
                  <c:v>3.5420595427932917E-2</c:v>
                </c:pt>
                <c:pt idx="27">
                  <c:v>3.6714441889905178E-2</c:v>
                </c:pt>
                <c:pt idx="28">
                  <c:v>3.7955463797584937E-2</c:v>
                </c:pt>
                <c:pt idx="29">
                  <c:v>3.9147191316564689E-2</c:v>
                </c:pt>
                <c:pt idx="30">
                  <c:v>4.0293216207301953E-2</c:v>
                </c:pt>
                <c:pt idx="31">
                  <c:v>4.1397001049908788E-2</c:v>
                </c:pt>
                <c:pt idx="32">
                  <c:v>4.2461787330672622E-2</c:v>
                </c:pt>
                <c:pt idx="33">
                  <c:v>4.3490559233566317E-2</c:v>
                </c:pt>
                <c:pt idx="34">
                  <c:v>4.4486037882254081E-2</c:v>
                </c:pt>
                <c:pt idx="35">
                  <c:v>4.5450691465868109E-2</c:v>
                </c:pt>
                <c:pt idx="36">
                  <c:v>4.6386752955018609E-2</c:v>
                </c:pt>
                <c:pt idx="37">
                  <c:v>4.7296240764346006E-2</c:v>
                </c:pt>
                <c:pt idx="38">
                  <c:v>4.8180979829593913E-2</c:v>
                </c:pt>
                <c:pt idx="39">
                  <c:v>4.9042621781850641E-2</c:v>
                </c:pt>
                <c:pt idx="40">
                  <c:v>4.9882663594091214E-2</c:v>
                </c:pt>
                <c:pt idx="41">
                  <c:v>5.0702464463866531E-2</c:v>
                </c:pt>
                <c:pt idx="42">
                  <c:v>5.1503260908273188E-2</c:v>
                </c:pt>
                <c:pt idx="43">
                  <c:v>5.2286180157582157E-2</c:v>
                </c:pt>
                <c:pt idx="44">
                  <c:v>5.3052251985661762E-2</c:v>
                </c:pt>
                <c:pt idx="45">
                  <c:v>5.3802419134120406E-2</c:v>
                </c:pt>
                <c:pt idx="46">
                  <c:v>5.4537546487850058E-2</c:v>
                </c:pt>
                <c:pt idx="47">
                  <c:v>5.5258429151078044E-2</c:v>
                </c:pt>
                <c:pt idx="48">
                  <c:v>5.5965799560136108E-2</c:v>
                </c:pt>
                <c:pt idx="49">
                  <c:v>5.6660333754782119E-2</c:v>
                </c:pt>
                <c:pt idx="50">
                  <c:v>5.7342656915597853E-2</c:v>
                </c:pt>
                <c:pt idx="51">
                  <c:v>5.8013348261550288E-2</c:v>
                </c:pt>
                <c:pt idx="52">
                  <c:v>5.8672945389592508E-2</c:v>
                </c:pt>
                <c:pt idx="53">
                  <c:v>5.9321948127318398E-2</c:v>
                </c:pt>
                <c:pt idx="54">
                  <c:v>5.9960821960150464E-2</c:v>
                </c:pt>
                <c:pt idx="55">
                  <c:v>6.0590001086238132E-2</c:v>
                </c:pt>
                <c:pt idx="56">
                  <c:v>6.1209891145067079E-2</c:v>
                </c:pt>
                <c:pt idx="57">
                  <c:v>6.1820871659585212E-2</c:v>
                </c:pt>
                <c:pt idx="58">
                  <c:v>6.2423298226329534E-2</c:v>
                </c:pt>
                <c:pt idx="59">
                  <c:v>6.3017504483456624E-2</c:v>
                </c:pt>
                <c:pt idx="60">
                  <c:v>6.3603803882651341E-2</c:v>
                </c:pt>
                <c:pt idx="61">
                  <c:v>6.4182491287508123E-2</c:v>
                </c:pt>
                <c:pt idx="62">
                  <c:v>6.4753844418073137E-2</c:v>
                </c:pt>
                <c:pt idx="63">
                  <c:v>6.5318125158736418E-2</c:v>
                </c:pt>
                <c:pt idx="64">
                  <c:v>6.5875580744506224E-2</c:v>
                </c:pt>
                <c:pt idx="65">
                  <c:v>6.6426444838837334E-2</c:v>
                </c:pt>
                <c:pt idx="66">
                  <c:v>6.6970938514577597E-2</c:v>
                </c:pt>
                <c:pt idx="67">
                  <c:v>6.750927114820475E-2</c:v>
                </c:pt>
                <c:pt idx="68">
                  <c:v>6.8041641236315273E-2</c:v>
                </c:pt>
                <c:pt idx="69">
                  <c:v>6.8568237142279345E-2</c:v>
                </c:pt>
                <c:pt idx="70">
                  <c:v>6.9089237780062013E-2</c:v>
                </c:pt>
                <c:pt idx="71">
                  <c:v>6.9604813241413627E-2</c:v>
                </c:pt>
                <c:pt idx="72">
                  <c:v>7.0115125371933623E-2</c:v>
                </c:pt>
                <c:pt idx="73">
                  <c:v>7.0620328300908253E-2</c:v>
                </c:pt>
                <c:pt idx="74">
                  <c:v>7.1120568929281078E-2</c:v>
                </c:pt>
                <c:pt idx="75">
                  <c:v>7.1615987379651636E-2</c:v>
                </c:pt>
                <c:pt idx="76">
                  <c:v>7.2106717411780583E-2</c:v>
                </c:pt>
                <c:pt idx="77">
                  <c:v>7.259288680671748E-2</c:v>
                </c:pt>
                <c:pt idx="78">
                  <c:v>7.3074617722344595E-2</c:v>
                </c:pt>
                <c:pt idx="79">
                  <c:v>7.3552027022845912E-2</c:v>
                </c:pt>
                <c:pt idx="80">
                  <c:v>7.4025226584358533E-2</c:v>
                </c:pt>
                <c:pt idx="81">
                  <c:v>7.4494323578839991E-2</c:v>
                </c:pt>
                <c:pt idx="82">
                  <c:v>7.4959420737985255E-2</c:v>
                </c:pt>
                <c:pt idx="83">
                  <c:v>7.5420616598850895E-2</c:v>
                </c:pt>
                <c:pt idx="84">
                  <c:v>7.5878005732686285E-2</c:v>
                </c:pt>
                <c:pt idx="85">
                  <c:v>7.6331678958328431E-2</c:v>
                </c:pt>
                <c:pt idx="86">
                  <c:v>7.6781723541396063E-2</c:v>
                </c:pt>
                <c:pt idx="87">
                  <c:v>7.7228223380396255E-2</c:v>
                </c:pt>
                <c:pt idx="88">
                  <c:v>7.7671259180768587E-2</c:v>
                </c:pt>
                <c:pt idx="89">
                  <c:v>7.8110908617787259E-2</c:v>
                </c:pt>
                <c:pt idx="90">
                  <c:v>7.8547246489170094E-2</c:v>
                </c:pt>
                <c:pt idx="91">
                  <c:v>7.8980344858163742E-2</c:v>
                </c:pt>
                <c:pt idx="92">
                  <c:v>7.9410273187810146E-2</c:v>
                </c:pt>
                <c:pt idx="93">
                  <c:v>7.9837098467039638E-2</c:v>
                </c:pt>
                <c:pt idx="94">
                  <c:v>8.0260885329179799E-2</c:v>
                </c:pt>
                <c:pt idx="95">
                  <c:v>8.06816961634228E-2</c:v>
                </c:pt>
                <c:pt idx="96">
                  <c:v>8.1099591219746234E-2</c:v>
                </c:pt>
                <c:pt idx="97">
                  <c:v>8.1514628707745729E-2</c:v>
                </c:pt>
                <c:pt idx="98">
                  <c:v>8.1926864889797099E-2</c:v>
                </c:pt>
                <c:pt idx="99">
                  <c:v>8.2336354168937184E-2</c:v>
                </c:pt>
                <c:pt idx="100">
                  <c:v>8.2743149171815036E-2</c:v>
                </c:pt>
                <c:pt idx="101">
                  <c:v>8.31473008270458E-2</c:v>
                </c:pt>
                <c:pt idx="102">
                  <c:v>8.3548858439268556E-2</c:v>
                </c:pt>
                <c:pt idx="103">
                  <c:v>8.3947869759188734E-2</c:v>
                </c:pt>
                <c:pt idx="104">
                  <c:v>8.4344381049863221E-2</c:v>
                </c:pt>
                <c:pt idx="105">
                  <c:v>8.4738437149466592E-2</c:v>
                </c:pt>
                <c:pt idx="106">
                  <c:v>8.5130081530765872E-2</c:v>
                </c:pt>
                <c:pt idx="107">
                  <c:v>8.551935635750324E-2</c:v>
                </c:pt>
                <c:pt idx="108">
                  <c:v>8.5906302537879828E-2</c:v>
                </c:pt>
                <c:pt idx="109">
                  <c:v>8.6290959775321432E-2</c:v>
                </c:pt>
                <c:pt idx="110">
                  <c:v>8.6673366616684774E-2</c:v>
                </c:pt>
                <c:pt idx="111">
                  <c:v>8.7053560498061941E-2</c:v>
                </c:pt>
                <c:pt idx="112">
                  <c:v>8.7431577788324846E-2</c:v>
                </c:pt>
                <c:pt idx="113">
                  <c:v>8.7807453830542406E-2</c:v>
                </c:pt>
                <c:pt idx="114">
                  <c:v>8.818122298139329E-2</c:v>
                </c:pt>
                <c:pt idx="115">
                  <c:v>8.8552918648688028E-2</c:v>
                </c:pt>
                <c:pt idx="116">
                  <c:v>8.8922573327116464E-2</c:v>
                </c:pt>
                <c:pt idx="117">
                  <c:v>8.9290218632310403E-2</c:v>
                </c:pt>
                <c:pt idx="118">
                  <c:v>8.9655885333323262E-2</c:v>
                </c:pt>
                <c:pt idx="119">
                  <c:v>9.0019603383608662E-2</c:v>
                </c:pt>
                <c:pt idx="120">
                  <c:v>9.0381401950587942E-2</c:v>
                </c:pt>
                <c:pt idx="121">
                  <c:v>9.0741309443878398E-2</c:v>
                </c:pt>
                <c:pt idx="122">
                  <c:v>9.1099353542251196E-2</c:v>
                </c:pt>
                <c:pt idx="123">
                  <c:v>9.1455561219395187E-2</c:v>
                </c:pt>
                <c:pt idx="124">
                  <c:v>9.1809958768548861E-2</c:v>
                </c:pt>
                <c:pt idx="125">
                  <c:v>9.2162571826045495E-2</c:v>
                </c:pt>
                <c:pt idx="126">
                  <c:v>9.2513425393855778E-2</c:v>
                </c:pt>
                <c:pt idx="127">
                  <c:v>9.286254386114666E-2</c:v>
                </c:pt>
                <c:pt idx="128">
                  <c:v>9.3209951024935025E-2</c:v>
                </c:pt>
                <c:pt idx="129">
                  <c:v>9.3555670109869982E-2</c:v>
                </c:pt>
                <c:pt idx="130">
                  <c:v>9.389972378718088E-2</c:v>
                </c:pt>
                <c:pt idx="131">
                  <c:v>9.4242134192845106E-2</c:v>
                </c:pt>
                <c:pt idx="132">
                  <c:v>9.4582922945012499E-2</c:v>
                </c:pt>
                <c:pt idx="133">
                  <c:v>9.4922111160710504E-2</c:v>
                </c:pt>
                <c:pt idx="134">
                  <c:v>9.5259719471885218E-2</c:v>
                </c:pt>
                <c:pt idx="135">
                  <c:v>9.559576804078844E-2</c:v>
                </c:pt>
                <c:pt idx="136">
                  <c:v>9.5930276574759818E-2</c:v>
                </c:pt>
                <c:pt idx="137">
                  <c:v>9.6263264340429769E-2</c:v>
                </c:pt>
                <c:pt idx="138">
                  <c:v>9.6594750177346658E-2</c:v>
                </c:pt>
                <c:pt idx="139">
                  <c:v>9.6924752511107271E-2</c:v>
                </c:pt>
                <c:pt idx="140">
                  <c:v>9.7253289365948084E-2</c:v>
                </c:pt>
                <c:pt idx="141">
                  <c:v>9.7580378376896024E-2</c:v>
                </c:pt>
                <c:pt idx="142">
                  <c:v>9.7906036801397284E-2</c:v>
                </c:pt>
                <c:pt idx="143">
                  <c:v>9.8230281530563707E-2</c:v>
                </c:pt>
                <c:pt idx="144">
                  <c:v>9.8553129099990436E-2</c:v>
                </c:pt>
                <c:pt idx="145">
                  <c:v>9.8874595700114823E-2</c:v>
                </c:pt>
                <c:pt idx="146">
                  <c:v>9.9194697186421335E-2</c:v>
                </c:pt>
                <c:pt idx="147">
                  <c:v>9.9513449088139985E-2</c:v>
                </c:pt>
                <c:pt idx="148">
                  <c:v>9.9830866584628489E-2</c:v>
                </c:pt>
                <c:pt idx="149">
                  <c:v>0.10014696468945705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CA-4747-8BCD-8A38E695B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094128"/>
        <c:axId val="2069095088"/>
      </c:scatterChart>
      <c:valAx>
        <c:axId val="1390202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 (psia)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202511"/>
        <c:crosses val="autoZero"/>
        <c:crossBetween val="midCat"/>
      </c:valAx>
      <c:valAx>
        <c:axId val="1390202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202031"/>
        <c:crosses val="autoZero"/>
        <c:crossBetween val="midCat"/>
      </c:valAx>
      <c:valAx>
        <c:axId val="20690950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Viscosity (cP)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9094128"/>
        <c:crosses val="max"/>
        <c:crossBetween val="midCat"/>
      </c:valAx>
      <c:valAx>
        <c:axId val="2069094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69095088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96218285214348"/>
          <c:y val="0.1614629537161513"/>
          <c:w val="0.21739248447602585"/>
          <c:h val="5.86960629921259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447674</xdr:colOff>
      <xdr:row>2</xdr:row>
      <xdr:rowOff>50800</xdr:rowOff>
    </xdr:from>
    <xdr:to>
      <xdr:col>18</xdr:col>
      <xdr:colOff>209549</xdr:colOff>
      <xdr:row>22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EC3873-043E-2AB0-DE15-6E9ECEBFE5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5A11B-7867-4B03-9B3E-58082764B8C8}">
  <sheetPr codeName="Sheet1"/>
  <dimension ref="A1:H151"/>
  <sheetViews>
    <sheetView tabSelected="1" workbookViewId="0">
      <selection activeCell="E3" sqref="E3"/>
    </sheetView>
  </sheetViews>
  <sheetFormatPr defaultRowHeight="14.5" x14ac:dyDescent="0.35"/>
  <cols>
    <col min="3" max="3" width="13.453125" bestFit="1" customWidth="1"/>
  </cols>
  <sheetData>
    <row r="1" spans="1:8" x14ac:dyDescent="0.35">
      <c r="A1" s="1" t="s">
        <v>0</v>
      </c>
      <c r="B1" s="1" t="s">
        <v>1</v>
      </c>
      <c r="C1" s="1" t="s">
        <v>7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</row>
    <row r="2" spans="1:8" x14ac:dyDescent="0.35">
      <c r="A2" s="2">
        <v>140</v>
      </c>
      <c r="B2" s="2">
        <v>100</v>
      </c>
      <c r="C2" s="2">
        <v>0.6</v>
      </c>
      <c r="D2" s="2">
        <v>0.15</v>
      </c>
      <c r="E2" s="2">
        <v>0.5</v>
      </c>
      <c r="F2" s="2">
        <v>0.02</v>
      </c>
      <c r="G2" cm="1">
        <f t="array" ref="G2">PengRobinsonZ(A2, B2, C2, D2,E2,F2)</f>
        <v>0.97794714087585255</v>
      </c>
      <c r="H2" cm="1">
        <f t="array" ref="H2">LBC(G2, A2, B2, C2, D2, E2, F2)</f>
        <v>1.4014579231987527E-2</v>
      </c>
    </row>
    <row r="3" spans="1:8" x14ac:dyDescent="0.35">
      <c r="A3">
        <f>A2</f>
        <v>140</v>
      </c>
      <c r="B3">
        <f>B2+100</f>
        <v>200</v>
      </c>
      <c r="C3">
        <f t="shared" ref="C3:F3" si="0">C2</f>
        <v>0.6</v>
      </c>
      <c r="D3">
        <f t="shared" si="0"/>
        <v>0.15</v>
      </c>
      <c r="E3">
        <f t="shared" si="0"/>
        <v>0.5</v>
      </c>
      <c r="F3">
        <f t="shared" si="0"/>
        <v>0.02</v>
      </c>
      <c r="G3" cm="1">
        <f t="array" ref="G3">PengRobinsonZ(A3, B3, C3, D3,E3,F3)</f>
        <v>0.95558562279611425</v>
      </c>
      <c r="H3" cm="1">
        <f t="array" ref="H3">LBC(G3, A3, B3, C3, D3, E3, F3)</f>
        <v>1.4110662705684262E-2</v>
      </c>
    </row>
    <row r="4" spans="1:8" x14ac:dyDescent="0.35">
      <c r="A4">
        <f t="shared" ref="A4:A67" si="1">A3</f>
        <v>140</v>
      </c>
      <c r="B4">
        <f t="shared" ref="B4:B67" si="2">B3+100</f>
        <v>300</v>
      </c>
      <c r="C4">
        <f t="shared" ref="C4:C67" si="3">C3</f>
        <v>0.6</v>
      </c>
      <c r="D4">
        <f t="shared" ref="D4:D67" si="4">D3</f>
        <v>0.15</v>
      </c>
      <c r="E4">
        <f t="shared" ref="E4:E67" si="5">E3</f>
        <v>0.5</v>
      </c>
      <c r="F4">
        <f t="shared" ref="F4:F67" si="6">F3</f>
        <v>0.02</v>
      </c>
      <c r="G4" cm="1">
        <f t="array" ref="G4">PengRobinsonZ(A4, B4, C4, D4,E4,F4)</f>
        <v>0.93289787635776278</v>
      </c>
      <c r="H4" cm="1">
        <f t="array" ref="H4">LBC(G4, A4, B4, C4, D4, E4, F4)</f>
        <v>1.4222832022842559E-2</v>
      </c>
    </row>
    <row r="5" spans="1:8" x14ac:dyDescent="0.35">
      <c r="A5">
        <f t="shared" si="1"/>
        <v>140</v>
      </c>
      <c r="B5">
        <f t="shared" si="2"/>
        <v>400</v>
      </c>
      <c r="C5">
        <f t="shared" si="3"/>
        <v>0.6</v>
      </c>
      <c r="D5">
        <f t="shared" si="4"/>
        <v>0.15</v>
      </c>
      <c r="E5">
        <f t="shared" si="5"/>
        <v>0.5</v>
      </c>
      <c r="F5">
        <f t="shared" si="6"/>
        <v>0.02</v>
      </c>
      <c r="G5" cm="1">
        <f t="array" ref="G5">PengRobinsonZ(A5, B5, C5, D5,E5,F5)</f>
        <v>0.90986595743843302</v>
      </c>
      <c r="H5" cm="1">
        <f t="array" ref="H5">LBC(G5, A5, B5, C5, D5, E5, F5)</f>
        <v>1.4353525766828992E-2</v>
      </c>
    </row>
    <row r="6" spans="1:8" x14ac:dyDescent="0.35">
      <c r="A6">
        <f t="shared" si="1"/>
        <v>140</v>
      </c>
      <c r="B6">
        <f t="shared" si="2"/>
        <v>500</v>
      </c>
      <c r="C6">
        <f t="shared" si="3"/>
        <v>0.6</v>
      </c>
      <c r="D6">
        <f t="shared" si="4"/>
        <v>0.15</v>
      </c>
      <c r="E6">
        <f t="shared" si="5"/>
        <v>0.5</v>
      </c>
      <c r="F6">
        <f t="shared" si="6"/>
        <v>0.02</v>
      </c>
      <c r="G6" cm="1">
        <f t="array" ref="G6">PengRobinsonZ(A6, B6, C6, D6,E6,F6)</f>
        <v>0.88647209341497168</v>
      </c>
      <c r="H6" cm="1">
        <f t="array" ref="H6">LBC(G6, A6, B6, C6, D6, E6, F6)</f>
        <v>1.450570961030713E-2</v>
      </c>
    </row>
    <row r="7" spans="1:8" x14ac:dyDescent="0.35">
      <c r="A7">
        <f t="shared" si="1"/>
        <v>140</v>
      </c>
      <c r="B7">
        <f t="shared" si="2"/>
        <v>600</v>
      </c>
      <c r="C7">
        <f t="shared" si="3"/>
        <v>0.6</v>
      </c>
      <c r="D7">
        <f t="shared" si="4"/>
        <v>0.15</v>
      </c>
      <c r="E7">
        <f t="shared" si="5"/>
        <v>0.5</v>
      </c>
      <c r="F7">
        <f t="shared" si="6"/>
        <v>0.02</v>
      </c>
      <c r="G7" cm="1">
        <f t="array" ref="G7">PengRobinsonZ(A7, B7, C7, D7,E7,F7)</f>
        <v>0.86269959692919662</v>
      </c>
      <c r="H7" cm="1">
        <f t="array" ref="H7">LBC(G7, A7, B7, C7, D7, E7, F7)</f>
        <v>1.4683014259198402E-2</v>
      </c>
    </row>
    <row r="8" spans="1:8" x14ac:dyDescent="0.35">
      <c r="A8">
        <f t="shared" si="1"/>
        <v>140</v>
      </c>
      <c r="B8">
        <f t="shared" si="2"/>
        <v>700</v>
      </c>
      <c r="C8">
        <f t="shared" si="3"/>
        <v>0.6</v>
      </c>
      <c r="D8">
        <f t="shared" si="4"/>
        <v>0.15</v>
      </c>
      <c r="E8">
        <f t="shared" si="5"/>
        <v>0.5</v>
      </c>
      <c r="F8">
        <f t="shared" si="6"/>
        <v>0.02</v>
      </c>
      <c r="G8" cm="1">
        <f t="array" ref="G8">PengRobinsonZ(A8, B8, C8, D8,E8,F8)</f>
        <v>0.83853436034323059</v>
      </c>
      <c r="H8" cm="1">
        <f t="array" ref="H8">LBC(G8, A8, B8, C8, D8, E8, F8)</f>
        <v>1.4889913696874493E-2</v>
      </c>
    </row>
    <row r="9" spans="1:8" x14ac:dyDescent="0.35">
      <c r="A9">
        <f t="shared" si="1"/>
        <v>140</v>
      </c>
      <c r="B9">
        <f t="shared" si="2"/>
        <v>800</v>
      </c>
      <c r="C9">
        <f t="shared" si="3"/>
        <v>0.6</v>
      </c>
      <c r="D9">
        <f t="shared" si="4"/>
        <v>0.15</v>
      </c>
      <c r="E9">
        <f t="shared" si="5"/>
        <v>0.5</v>
      </c>
      <c r="F9">
        <f t="shared" si="6"/>
        <v>0.02</v>
      </c>
      <c r="G9" cm="1">
        <f t="array" ref="G9">PengRobinsonZ(A9, B9, C9, D9,E9,F9)</f>
        <v>0.81396726789315343</v>
      </c>
      <c r="H9" cm="1">
        <f t="array" ref="H9">LBC(G9, A9, B9, C9, D9, E9, F9)</f>
        <v>1.5131954652428163E-2</v>
      </c>
    </row>
    <row r="10" spans="1:8" x14ac:dyDescent="0.35">
      <c r="A10">
        <f t="shared" si="1"/>
        <v>140</v>
      </c>
      <c r="B10">
        <f t="shared" si="2"/>
        <v>900</v>
      </c>
      <c r="C10">
        <f t="shared" si="3"/>
        <v>0.6</v>
      </c>
      <c r="D10">
        <f t="shared" si="4"/>
        <v>0.15</v>
      </c>
      <c r="E10">
        <f t="shared" si="5"/>
        <v>0.5</v>
      </c>
      <c r="F10">
        <f t="shared" si="6"/>
        <v>0.02</v>
      </c>
      <c r="G10" cm="1">
        <f t="array" ref="G10">PengRobinsonZ(A10, B10, C10, D10,E10,F10)</f>
        <v>0.7889980565446908</v>
      </c>
      <c r="H10" cm="1">
        <f t="array" ref="H10">LBC(G10, A10, B10, C10, D10, E10, F10)</f>
        <v>1.5416048662318058E-2</v>
      </c>
    </row>
    <row r="11" spans="1:8" x14ac:dyDescent="0.35">
      <c r="A11">
        <f t="shared" si="1"/>
        <v>140</v>
      </c>
      <c r="B11">
        <f t="shared" si="2"/>
        <v>1000</v>
      </c>
      <c r="C11">
        <f t="shared" si="3"/>
        <v>0.6</v>
      </c>
      <c r="D11">
        <f t="shared" si="4"/>
        <v>0.15</v>
      </c>
      <c r="E11">
        <f t="shared" si="5"/>
        <v>0.5</v>
      </c>
      <c r="F11">
        <f t="shared" si="6"/>
        <v>0.02</v>
      </c>
      <c r="G11" cm="1">
        <f t="array" ref="G11">PengRobinsonZ(A11, B11, C11, D11,E11,F11)</f>
        <v>0.7636414519154181</v>
      </c>
      <c r="H11" cm="1">
        <f t="array" ref="H11">LBC(G11, A11, B11, C11, D11, E11, F11)</f>
        <v>1.5750834476214313E-2</v>
      </c>
    </row>
    <row r="12" spans="1:8" x14ac:dyDescent="0.35">
      <c r="A12">
        <f t="shared" si="1"/>
        <v>140</v>
      </c>
      <c r="B12">
        <f t="shared" si="2"/>
        <v>1100</v>
      </c>
      <c r="C12">
        <f t="shared" si="3"/>
        <v>0.6</v>
      </c>
      <c r="D12">
        <f t="shared" si="4"/>
        <v>0.15</v>
      </c>
      <c r="E12">
        <f t="shared" si="5"/>
        <v>0.5</v>
      </c>
      <c r="F12">
        <f t="shared" si="6"/>
        <v>0.02</v>
      </c>
      <c r="G12" cm="1">
        <f t="array" ref="G12">PengRobinsonZ(A12, B12, C12, D12,E12,F12)</f>
        <v>0.73793682794857485</v>
      </c>
      <c r="H12" cm="1">
        <f t="array" ref="H12">LBC(G12, A12, B12, C12, D12, E12, F12)</f>
        <v>1.6147104533019575E-2</v>
      </c>
    </row>
    <row r="13" spans="1:8" x14ac:dyDescent="0.35">
      <c r="A13">
        <f t="shared" si="1"/>
        <v>140</v>
      </c>
      <c r="B13">
        <f t="shared" si="2"/>
        <v>1200</v>
      </c>
      <c r="C13">
        <f t="shared" si="3"/>
        <v>0.6</v>
      </c>
      <c r="D13">
        <f t="shared" si="4"/>
        <v>0.15</v>
      </c>
      <c r="E13">
        <f t="shared" si="5"/>
        <v>0.5</v>
      </c>
      <c r="F13">
        <f t="shared" si="6"/>
        <v>0.02</v>
      </c>
      <c r="G13" cm="1">
        <f t="array" ref="G13">PengRobinsonZ(A13, B13, C13, D13,E13,F13)</f>
        <v>0.71196315942673538</v>
      </c>
      <c r="H13" cm="1">
        <f t="array" ref="H13">LBC(G13, A13, B13, C13, D13, E13, F13)</f>
        <v>1.6618251377763932E-2</v>
      </c>
    </row>
    <row r="14" spans="1:8" x14ac:dyDescent="0.35">
      <c r="A14">
        <f t="shared" si="1"/>
        <v>140</v>
      </c>
      <c r="B14">
        <f t="shared" si="2"/>
        <v>1300</v>
      </c>
      <c r="C14">
        <f t="shared" si="3"/>
        <v>0.6</v>
      </c>
      <c r="D14">
        <f t="shared" si="4"/>
        <v>0.15</v>
      </c>
      <c r="E14">
        <f t="shared" si="5"/>
        <v>0.5</v>
      </c>
      <c r="F14">
        <f t="shared" si="6"/>
        <v>0.02</v>
      </c>
      <c r="G14" cm="1">
        <f t="array" ref="G14">PengRobinsonZ(A14, B14, C14, D14,E14,F14)</f>
        <v>0.68586142543925255</v>
      </c>
      <c r="H14" cm="1">
        <f t="array" ref="H14">LBC(G14, A14, B14, C14, D14, E14, F14)</f>
        <v>1.7180602721169135E-2</v>
      </c>
    </row>
    <row r="15" spans="1:8" x14ac:dyDescent="0.35">
      <c r="A15">
        <f t="shared" si="1"/>
        <v>140</v>
      </c>
      <c r="B15">
        <f t="shared" si="2"/>
        <v>1400</v>
      </c>
      <c r="C15">
        <f t="shared" si="3"/>
        <v>0.6</v>
      </c>
      <c r="D15">
        <f t="shared" si="4"/>
        <v>0.15</v>
      </c>
      <c r="E15">
        <f t="shared" si="5"/>
        <v>0.5</v>
      </c>
      <c r="F15">
        <f t="shared" si="6"/>
        <v>0.02</v>
      </c>
      <c r="G15" cm="1">
        <f t="array" ref="G15">PengRobinsonZ(A15, B15, C15, D15,E15,F15)</f>
        <v>0.65986609297106325</v>
      </c>
      <c r="H15" cm="1">
        <f t="array" ref="H15">LBC(G15, A15, B15, C15, D15, E15, F15)</f>
        <v>1.7853338559456387E-2</v>
      </c>
    </row>
    <row r="16" spans="1:8" x14ac:dyDescent="0.35">
      <c r="A16">
        <f t="shared" si="1"/>
        <v>140</v>
      </c>
      <c r="B16">
        <f t="shared" si="2"/>
        <v>1500</v>
      </c>
      <c r="C16">
        <f t="shared" si="3"/>
        <v>0.6</v>
      </c>
      <c r="D16">
        <f t="shared" si="4"/>
        <v>0.15</v>
      </c>
      <c r="E16">
        <f t="shared" si="5"/>
        <v>0.5</v>
      </c>
      <c r="F16">
        <f t="shared" si="6"/>
        <v>0.02</v>
      </c>
      <c r="G16" cm="1">
        <f t="array" ref="G16">PengRobinsonZ(A16, B16, C16, D16,E16,F16)</f>
        <v>0.63434388854046941</v>
      </c>
      <c r="H16" cm="1">
        <f t="array" ref="H16">LBC(G16, A16, B16, C16, D16, E16, F16)</f>
        <v>1.8657393867040163E-2</v>
      </c>
    </row>
    <row r="17" spans="1:8" x14ac:dyDescent="0.35">
      <c r="A17">
        <f t="shared" si="1"/>
        <v>140</v>
      </c>
      <c r="B17">
        <f t="shared" si="2"/>
        <v>1600</v>
      </c>
      <c r="C17">
        <f t="shared" si="3"/>
        <v>0.6</v>
      </c>
      <c r="D17">
        <f t="shared" si="4"/>
        <v>0.15</v>
      </c>
      <c r="E17">
        <f t="shared" si="5"/>
        <v>0.5</v>
      </c>
      <c r="F17">
        <f t="shared" si="6"/>
        <v>0.02</v>
      </c>
      <c r="G17" cm="1">
        <f t="array" ref="G17">PengRobinsonZ(A17, B17, C17, D17,E17,F17)</f>
        <v>0.60982832046414559</v>
      </c>
      <c r="H17" cm="1">
        <f t="array" ref="H17">LBC(G17, A17, B17, C17, D17, E17, F17)</f>
        <v>1.9612445145161816E-2</v>
      </c>
    </row>
    <row r="18" spans="1:8" x14ac:dyDescent="0.35">
      <c r="A18">
        <f t="shared" si="1"/>
        <v>140</v>
      </c>
      <c r="B18">
        <f t="shared" si="2"/>
        <v>1700</v>
      </c>
      <c r="C18">
        <f t="shared" si="3"/>
        <v>0.6</v>
      </c>
      <c r="D18">
        <f t="shared" si="4"/>
        <v>0.15</v>
      </c>
      <c r="E18">
        <f t="shared" si="5"/>
        <v>0.5</v>
      </c>
      <c r="F18">
        <f t="shared" si="6"/>
        <v>0.02</v>
      </c>
      <c r="G18" cm="1">
        <f t="array" ref="G18">PengRobinsonZ(A18, B18, C18, D18,E18,F18)</f>
        <v>0.58702061658847426</v>
      </c>
      <c r="H18" cm="1">
        <f t="array" ref="H18">LBC(G18, A18, B18, C18, D18, E18, F18)</f>
        <v>2.0731237433855874E-2</v>
      </c>
    </row>
    <row r="19" spans="1:8" x14ac:dyDescent="0.35">
      <c r="A19">
        <f t="shared" si="1"/>
        <v>140</v>
      </c>
      <c r="B19">
        <f t="shared" si="2"/>
        <v>1800</v>
      </c>
      <c r="C19">
        <f t="shared" si="3"/>
        <v>0.6</v>
      </c>
      <c r="D19">
        <f t="shared" si="4"/>
        <v>0.15</v>
      </c>
      <c r="E19">
        <f t="shared" si="5"/>
        <v>0.5</v>
      </c>
      <c r="F19">
        <f t="shared" si="6"/>
        <v>0.02</v>
      </c>
      <c r="G19" cm="1">
        <f t="array" ref="G19">PengRobinsonZ(A19, B19, C19, D19,E19,F19)</f>
        <v>0.56671357052393989</v>
      </c>
      <c r="H19" cm="1">
        <f t="array" ref="H19">LBC(G19, A19, B19, C19, D19, E19, F19)</f>
        <v>2.2012067180412074E-2</v>
      </c>
    </row>
    <row r="20" spans="1:8" x14ac:dyDescent="0.35">
      <c r="A20">
        <f t="shared" si="1"/>
        <v>140</v>
      </c>
      <c r="B20">
        <f t="shared" si="2"/>
        <v>1900</v>
      </c>
      <c r="C20">
        <f t="shared" si="3"/>
        <v>0.6</v>
      </c>
      <c r="D20">
        <f t="shared" si="4"/>
        <v>0.15</v>
      </c>
      <c r="E20">
        <f t="shared" si="5"/>
        <v>0.5</v>
      </c>
      <c r="F20">
        <f t="shared" si="6"/>
        <v>0.02</v>
      </c>
      <c r="G20" cm="1">
        <f t="array" ref="G20">PengRobinsonZ(A20, B20, C20, D20,E20,F20)</f>
        <v>0.54961971813597654</v>
      </c>
      <c r="H20" cm="1">
        <f t="array" ref="H20">LBC(G20, A20, B20, C20, D20, E20, F20)</f>
        <v>2.3433324857698012E-2</v>
      </c>
    </row>
    <row r="21" spans="1:8" x14ac:dyDescent="0.35">
      <c r="A21">
        <f t="shared" si="1"/>
        <v>140</v>
      </c>
      <c r="B21">
        <f t="shared" si="2"/>
        <v>2000</v>
      </c>
      <c r="C21">
        <f t="shared" si="3"/>
        <v>0.6</v>
      </c>
      <c r="D21">
        <f t="shared" si="4"/>
        <v>0.15</v>
      </c>
      <c r="E21">
        <f t="shared" si="5"/>
        <v>0.5</v>
      </c>
      <c r="F21">
        <f t="shared" si="6"/>
        <v>0.02</v>
      </c>
      <c r="G21" cm="1">
        <f t="array" ref="G21">PengRobinsonZ(A21, B21, C21, D21,E21,F21)</f>
        <v>0.53616901197736189</v>
      </c>
      <c r="H21" cm="1">
        <f t="array" ref="H21">LBC(G21, A21, B21, C21, D21, E21, F21)</f>
        <v>2.4955410039165099E-2</v>
      </c>
    </row>
    <row r="22" spans="1:8" x14ac:dyDescent="0.35">
      <c r="A22">
        <f t="shared" si="1"/>
        <v>140</v>
      </c>
      <c r="B22">
        <f t="shared" si="2"/>
        <v>2100</v>
      </c>
      <c r="C22">
        <f t="shared" si="3"/>
        <v>0.6</v>
      </c>
      <c r="D22">
        <f t="shared" si="4"/>
        <v>0.15</v>
      </c>
      <c r="E22">
        <f t="shared" si="5"/>
        <v>0.5</v>
      </c>
      <c r="F22">
        <f t="shared" si="6"/>
        <v>0.02</v>
      </c>
      <c r="G22" cm="1">
        <f t="array" ref="G22">PengRobinsonZ(A22, B22, C22, D22,E22,F22)</f>
        <v>0.52640446454768586</v>
      </c>
      <c r="H22" cm="1">
        <f t="array" ref="H22">LBC(G22, A22, B22, C22, D22, E22, F22)</f>
        <v>2.6530773386497411E-2</v>
      </c>
    </row>
    <row r="23" spans="1:8" x14ac:dyDescent="0.35">
      <c r="A23">
        <f t="shared" si="1"/>
        <v>140</v>
      </c>
      <c r="B23">
        <f t="shared" si="2"/>
        <v>2200</v>
      </c>
      <c r="C23">
        <f t="shared" si="3"/>
        <v>0.6</v>
      </c>
      <c r="D23">
        <f t="shared" si="4"/>
        <v>0.15</v>
      </c>
      <c r="E23">
        <f t="shared" si="5"/>
        <v>0.5</v>
      </c>
      <c r="F23">
        <f t="shared" si="6"/>
        <v>0.02</v>
      </c>
      <c r="G23" cm="1">
        <f t="array" ref="G23">PengRobinsonZ(A23, B23, C23, D23,E23,F23)</f>
        <v>0.52003808014921582</v>
      </c>
      <c r="H23" cm="1">
        <f t="array" ref="H23">LBC(G23, A23, B23, C23, D23, E23, F23)</f>
        <v>2.8115861112594096E-2</v>
      </c>
    </row>
    <row r="24" spans="1:8" x14ac:dyDescent="0.35">
      <c r="A24">
        <f t="shared" si="1"/>
        <v>140</v>
      </c>
      <c r="B24">
        <f t="shared" si="2"/>
        <v>2300</v>
      </c>
      <c r="C24">
        <f t="shared" si="3"/>
        <v>0.6</v>
      </c>
      <c r="D24">
        <f t="shared" si="4"/>
        <v>0.15</v>
      </c>
      <c r="E24">
        <f t="shared" si="5"/>
        <v>0.5</v>
      </c>
      <c r="F24">
        <f t="shared" si="6"/>
        <v>0.02</v>
      </c>
      <c r="G24" cm="1">
        <f t="array" ref="G24">PengRobinsonZ(A24, B24, C24, D24,E24,F24)</f>
        <v>0.51660055377871605</v>
      </c>
      <c r="H24" cm="1">
        <f t="array" ref="H24">LBC(G24, A24, B24, C24, D24, E24, F24)</f>
        <v>2.9678220158034094E-2</v>
      </c>
    </row>
    <row r="25" spans="1:8" x14ac:dyDescent="0.35">
      <c r="A25">
        <f t="shared" si="1"/>
        <v>140</v>
      </c>
      <c r="B25">
        <f t="shared" si="2"/>
        <v>2400</v>
      </c>
      <c r="C25">
        <f t="shared" si="3"/>
        <v>0.6</v>
      </c>
      <c r="D25">
        <f t="shared" si="4"/>
        <v>0.15</v>
      </c>
      <c r="E25">
        <f t="shared" si="5"/>
        <v>0.5</v>
      </c>
      <c r="F25">
        <f t="shared" si="6"/>
        <v>0.02</v>
      </c>
      <c r="G25" cm="1">
        <f t="array" ref="G25">PengRobinsonZ(A25, B25, C25, D25,E25,F25)</f>
        <v>0.51558169967849876</v>
      </c>
      <c r="H25" cm="1">
        <f t="array" ref="H25">LBC(G25, A25, B25, C25, D25, E25, F25)</f>
        <v>3.119750744012886E-2</v>
      </c>
    </row>
    <row r="26" spans="1:8" x14ac:dyDescent="0.35">
      <c r="A26">
        <f t="shared" si="1"/>
        <v>140</v>
      </c>
      <c r="B26">
        <f t="shared" si="2"/>
        <v>2500</v>
      </c>
      <c r="C26">
        <f t="shared" si="3"/>
        <v>0.6</v>
      </c>
      <c r="D26">
        <f t="shared" si="4"/>
        <v>0.15</v>
      </c>
      <c r="E26">
        <f t="shared" si="5"/>
        <v>0.5</v>
      </c>
      <c r="F26">
        <f t="shared" si="6"/>
        <v>0.02</v>
      </c>
      <c r="G26" cm="1">
        <f t="array" ref="G26">PengRobinsonZ(A26, B26, C26, D26,E26,F26)</f>
        <v>0.5165138554719344</v>
      </c>
      <c r="H26" cm="1">
        <f t="array" ref="H26">LBC(G26, A26, B26, C26, D26, E26, F26)</f>
        <v>3.2663073579847525E-2</v>
      </c>
    </row>
    <row r="27" spans="1:8" x14ac:dyDescent="0.35">
      <c r="A27">
        <f t="shared" si="1"/>
        <v>140</v>
      </c>
      <c r="B27">
        <f t="shared" si="2"/>
        <v>2600</v>
      </c>
      <c r="C27">
        <f t="shared" si="3"/>
        <v>0.6</v>
      </c>
      <c r="D27">
        <f t="shared" si="4"/>
        <v>0.15</v>
      </c>
      <c r="E27">
        <f t="shared" si="5"/>
        <v>0.5</v>
      </c>
      <c r="F27">
        <f t="shared" si="6"/>
        <v>0.02</v>
      </c>
      <c r="G27" cm="1">
        <f t="array" ref="G27">PengRobinsonZ(A27, B27, C27, D27,E27,F27)</f>
        <v>0.51900390966835708</v>
      </c>
      <c r="H27" cm="1">
        <f t="array" ref="H27">LBC(G27, A27, B27, C27, D27, E27, F27)</f>
        <v>3.4070817611255071E-2</v>
      </c>
    </row>
    <row r="28" spans="1:8" x14ac:dyDescent="0.35">
      <c r="A28">
        <f t="shared" si="1"/>
        <v>140</v>
      </c>
      <c r="B28">
        <f t="shared" si="2"/>
        <v>2700</v>
      </c>
      <c r="C28">
        <f t="shared" si="3"/>
        <v>0.6</v>
      </c>
      <c r="D28">
        <f t="shared" si="4"/>
        <v>0.15</v>
      </c>
      <c r="E28">
        <f t="shared" si="5"/>
        <v>0.5</v>
      </c>
      <c r="F28">
        <f t="shared" si="6"/>
        <v>0.02</v>
      </c>
      <c r="G28" cm="1">
        <f t="array" ref="G28">PengRobinsonZ(A28, B28, C28, D28,E28,F28)</f>
        <v>0.52273579817269911</v>
      </c>
      <c r="H28" cm="1">
        <f t="array" ref="H28">LBC(G28, A28, B28, C28, D28, E28, F28)</f>
        <v>3.5420595427932917E-2</v>
      </c>
    </row>
    <row r="29" spans="1:8" x14ac:dyDescent="0.35">
      <c r="A29">
        <f t="shared" si="1"/>
        <v>140</v>
      </c>
      <c r="B29">
        <f t="shared" si="2"/>
        <v>2800</v>
      </c>
      <c r="C29">
        <f t="shared" si="3"/>
        <v>0.6</v>
      </c>
      <c r="D29">
        <f t="shared" si="4"/>
        <v>0.15</v>
      </c>
      <c r="E29">
        <f t="shared" si="5"/>
        <v>0.5</v>
      </c>
      <c r="F29">
        <f t="shared" si="6"/>
        <v>0.02</v>
      </c>
      <c r="G29" cm="1">
        <f t="array" ref="G29">PengRobinsonZ(A29, B29, C29, D29,E29,F29)</f>
        <v>0.52746070984955162</v>
      </c>
      <c r="H29" cm="1">
        <f t="array" ref="H29">LBC(G29, A29, B29, C29, D29, E29, F29)</f>
        <v>3.6714441889905178E-2</v>
      </c>
    </row>
    <row r="30" spans="1:8" x14ac:dyDescent="0.35">
      <c r="A30">
        <f t="shared" si="1"/>
        <v>140</v>
      </c>
      <c r="B30">
        <f t="shared" si="2"/>
        <v>2900</v>
      </c>
      <c r="C30">
        <f t="shared" si="3"/>
        <v>0.6</v>
      </c>
      <c r="D30">
        <f t="shared" si="4"/>
        <v>0.15</v>
      </c>
      <c r="E30">
        <f t="shared" si="5"/>
        <v>0.5</v>
      </c>
      <c r="F30">
        <f t="shared" si="6"/>
        <v>0.02</v>
      </c>
      <c r="G30" cm="1">
        <f t="array" ref="G30">PengRobinsonZ(A30, B30, C30, D30,E30,F30)</f>
        <v>0.53298428729274927</v>
      </c>
      <c r="H30" cm="1">
        <f t="array" ref="H30">LBC(G30, A30, B30, C30, D30, E30, F30)</f>
        <v>3.7955463797584937E-2</v>
      </c>
    </row>
    <row r="31" spans="1:8" x14ac:dyDescent="0.35">
      <c r="A31">
        <f t="shared" si="1"/>
        <v>140</v>
      </c>
      <c r="B31">
        <f t="shared" si="2"/>
        <v>3000</v>
      </c>
      <c r="C31">
        <f t="shared" si="3"/>
        <v>0.6</v>
      </c>
      <c r="D31">
        <f t="shared" si="4"/>
        <v>0.15</v>
      </c>
      <c r="E31">
        <f t="shared" si="5"/>
        <v>0.5</v>
      </c>
      <c r="F31">
        <f t="shared" si="6"/>
        <v>0.02</v>
      </c>
      <c r="G31" cm="1">
        <f t="array" ref="G31">PengRobinsonZ(A31, B31, C31, D31,E31,F31)</f>
        <v>0.53915472642881057</v>
      </c>
      <c r="H31" cm="1">
        <f t="array" ref="H31">LBC(G31, A31, B31, C31, D31, E31, F31)</f>
        <v>3.9147191316564689E-2</v>
      </c>
    </row>
    <row r="32" spans="1:8" x14ac:dyDescent="0.35">
      <c r="A32">
        <f t="shared" si="1"/>
        <v>140</v>
      </c>
      <c r="B32">
        <f t="shared" si="2"/>
        <v>3100</v>
      </c>
      <c r="C32">
        <f t="shared" si="3"/>
        <v>0.6</v>
      </c>
      <c r="D32">
        <f t="shared" si="4"/>
        <v>0.15</v>
      </c>
      <c r="E32">
        <f t="shared" si="5"/>
        <v>0.5</v>
      </c>
      <c r="F32">
        <f t="shared" si="6"/>
        <v>0.02</v>
      </c>
      <c r="G32" cm="1">
        <f t="array" ref="G32">PengRobinsonZ(A32, B32, C32, D32,E32,F32)</f>
        <v>0.54585296414587481</v>
      </c>
      <c r="H32" cm="1">
        <f t="array" ref="H32">LBC(G32, A32, B32, C32, D32, E32, F32)</f>
        <v>4.0293216207301953E-2</v>
      </c>
    </row>
    <row r="33" spans="1:8" x14ac:dyDescent="0.35">
      <c r="A33">
        <f t="shared" si="1"/>
        <v>140</v>
      </c>
      <c r="B33">
        <f t="shared" si="2"/>
        <v>3200</v>
      </c>
      <c r="C33">
        <f t="shared" si="3"/>
        <v>0.6</v>
      </c>
      <c r="D33">
        <f t="shared" si="4"/>
        <v>0.15</v>
      </c>
      <c r="E33">
        <f t="shared" si="5"/>
        <v>0.5</v>
      </c>
      <c r="F33">
        <f t="shared" si="6"/>
        <v>0.02</v>
      </c>
      <c r="G33" cm="1">
        <f t="array" ref="G33">PengRobinsonZ(A33, B33, C33, D33,E33,F33)</f>
        <v>0.55298500994830402</v>
      </c>
      <c r="H33" cm="1">
        <f t="array" ref="H33">LBC(G33, A33, B33, C33, D33, E33, F33)</f>
        <v>4.1397001049908788E-2</v>
      </c>
    </row>
    <row r="34" spans="1:8" x14ac:dyDescent="0.35">
      <c r="A34">
        <f t="shared" si="1"/>
        <v>140</v>
      </c>
      <c r="B34">
        <f t="shared" si="2"/>
        <v>3300</v>
      </c>
      <c r="C34">
        <f t="shared" si="3"/>
        <v>0.6</v>
      </c>
      <c r="D34">
        <f t="shared" si="4"/>
        <v>0.15</v>
      </c>
      <c r="E34">
        <f t="shared" si="5"/>
        <v>0.5</v>
      </c>
      <c r="F34">
        <f t="shared" si="6"/>
        <v>0.02</v>
      </c>
      <c r="G34" cm="1">
        <f t="array" ref="G34">PengRobinsonZ(A34, B34, C34, D34,E34,F34)</f>
        <v>0.56047609933928477</v>
      </c>
      <c r="H34" cm="1">
        <f t="array" ref="H34">LBC(G34, A34, B34, C34, D34, E34, F34)</f>
        <v>4.2461787330672622E-2</v>
      </c>
    </row>
    <row r="35" spans="1:8" x14ac:dyDescent="0.35">
      <c r="A35">
        <f t="shared" si="1"/>
        <v>140</v>
      </c>
      <c r="B35">
        <f t="shared" si="2"/>
        <v>3400</v>
      </c>
      <c r="C35">
        <f t="shared" si="3"/>
        <v>0.6</v>
      </c>
      <c r="D35">
        <f t="shared" si="4"/>
        <v>0.15</v>
      </c>
      <c r="E35">
        <f t="shared" si="5"/>
        <v>0.5</v>
      </c>
      <c r="F35">
        <f t="shared" si="6"/>
        <v>0.02</v>
      </c>
      <c r="G35" cm="1">
        <f t="array" ref="G35">PengRobinsonZ(A35, B35, C35, D35,E35,F35)</f>
        <v>0.56826628060207962</v>
      </c>
      <c r="H35" cm="1">
        <f t="array" ref="H35">LBC(G35, A35, B35, C35, D35, E35, F35)</f>
        <v>4.3490559233566317E-2</v>
      </c>
    </row>
    <row r="36" spans="1:8" x14ac:dyDescent="0.35">
      <c r="A36">
        <f t="shared" si="1"/>
        <v>140</v>
      </c>
      <c r="B36">
        <f t="shared" si="2"/>
        <v>3500</v>
      </c>
      <c r="C36">
        <f t="shared" si="3"/>
        <v>0.6</v>
      </c>
      <c r="D36">
        <f t="shared" si="4"/>
        <v>0.15</v>
      </c>
      <c r="E36">
        <f t="shared" si="5"/>
        <v>0.5</v>
      </c>
      <c r="F36">
        <f t="shared" si="6"/>
        <v>0.02</v>
      </c>
      <c r="G36" cm="1">
        <f t="array" ref="G36">PengRobinsonZ(A36, B36, C36, D36,E36,F36)</f>
        <v>0.57630709018220661</v>
      </c>
      <c r="H36" cm="1">
        <f t="array" ref="H36">LBC(G36, A36, B36, C36, D36, E36, F36)</f>
        <v>4.4486037882254081E-2</v>
      </c>
    </row>
    <row r="37" spans="1:8" x14ac:dyDescent="0.35">
      <c r="A37">
        <f t="shared" si="1"/>
        <v>140</v>
      </c>
      <c r="B37">
        <f t="shared" si="2"/>
        <v>3600</v>
      </c>
      <c r="C37">
        <f t="shared" si="3"/>
        <v>0.6</v>
      </c>
      <c r="D37">
        <f t="shared" si="4"/>
        <v>0.15</v>
      </c>
      <c r="E37">
        <f t="shared" si="5"/>
        <v>0.5</v>
      </c>
      <c r="F37">
        <f t="shared" si="6"/>
        <v>0.02</v>
      </c>
      <c r="G37" cm="1">
        <f t="array" ref="G37">PengRobinsonZ(A37, B37, C37, D37,E37,F37)</f>
        <v>0.58455904172145257</v>
      </c>
      <c r="H37" cm="1">
        <f t="array" ref="H37">LBC(G37, A37, B37, C37, D37, E37, F37)</f>
        <v>4.5450691465868109E-2</v>
      </c>
    </row>
    <row r="38" spans="1:8" x14ac:dyDescent="0.35">
      <c r="A38">
        <f t="shared" si="1"/>
        <v>140</v>
      </c>
      <c r="B38">
        <f t="shared" si="2"/>
        <v>3700</v>
      </c>
      <c r="C38">
        <f t="shared" si="3"/>
        <v>0.6</v>
      </c>
      <c r="D38">
        <f t="shared" si="4"/>
        <v>0.15</v>
      </c>
      <c r="E38">
        <f t="shared" si="5"/>
        <v>0.5</v>
      </c>
      <c r="F38">
        <f t="shared" si="6"/>
        <v>0.02</v>
      </c>
      <c r="G38" cm="1">
        <f t="array" ref="G38">PengRobinsonZ(A38, B38, C38, D38,E38,F38)</f>
        <v>0.59298971980215265</v>
      </c>
      <c r="H38" cm="1">
        <f t="array" ref="H38">LBC(G38, A38, B38, C38, D38, E38, F38)</f>
        <v>4.6386752955018609E-2</v>
      </c>
    </row>
    <row r="39" spans="1:8" x14ac:dyDescent="0.35">
      <c r="A39">
        <f t="shared" si="1"/>
        <v>140</v>
      </c>
      <c r="B39">
        <f t="shared" si="2"/>
        <v>3800</v>
      </c>
      <c r="C39">
        <f t="shared" si="3"/>
        <v>0.6</v>
      </c>
      <c r="D39">
        <f t="shared" si="4"/>
        <v>0.15</v>
      </c>
      <c r="E39">
        <f t="shared" si="5"/>
        <v>0.5</v>
      </c>
      <c r="F39">
        <f t="shared" si="6"/>
        <v>0.02</v>
      </c>
      <c r="G39" cm="1">
        <f t="array" ref="G39">PengRobinsonZ(A39, B39, C39, D39,E39,F39)</f>
        <v>0.60157232317444587</v>
      </c>
      <c r="H39" cm="1">
        <f t="array" ref="H39">LBC(G39, A39, B39, C39, D39, E39, F39)</f>
        <v>4.7296240764346006E-2</v>
      </c>
    </row>
    <row r="40" spans="1:8" x14ac:dyDescent="0.35">
      <c r="A40">
        <f t="shared" si="1"/>
        <v>140</v>
      </c>
      <c r="B40">
        <f t="shared" si="2"/>
        <v>3900</v>
      </c>
      <c r="C40">
        <f t="shared" si="3"/>
        <v>0.6</v>
      </c>
      <c r="D40">
        <f t="shared" si="4"/>
        <v>0.15</v>
      </c>
      <c r="E40">
        <f t="shared" si="5"/>
        <v>0.5</v>
      </c>
      <c r="F40">
        <f t="shared" si="6"/>
        <v>0.02</v>
      </c>
      <c r="G40" cm="1">
        <f t="array" ref="G40">PengRobinsonZ(A40, B40, C40, D40,E40,F40)</f>
        <v>0.61028454325567449</v>
      </c>
      <c r="H40" cm="1">
        <f t="array" ref="H40">LBC(G40, A40, B40, C40, D40, E40, F40)</f>
        <v>4.8180979829593913E-2</v>
      </c>
    </row>
    <row r="41" spans="1:8" x14ac:dyDescent="0.35">
      <c r="A41">
        <f t="shared" si="1"/>
        <v>140</v>
      </c>
      <c r="B41">
        <f t="shared" si="2"/>
        <v>4000</v>
      </c>
      <c r="C41">
        <f t="shared" si="3"/>
        <v>0.6</v>
      </c>
      <c r="D41">
        <f t="shared" si="4"/>
        <v>0.15</v>
      </c>
      <c r="E41">
        <f t="shared" si="5"/>
        <v>0.5</v>
      </c>
      <c r="F41">
        <f t="shared" si="6"/>
        <v>0.02</v>
      </c>
      <c r="G41" cm="1">
        <f t="array" ref="G41">PengRobinsonZ(A41, B41, C41, D41,E41,F41)</f>
        <v>0.61910769407923227</v>
      </c>
      <c r="H41" cm="1">
        <f t="array" ref="H41">LBC(G41, A41, B41, C41, D41, E41, F41)</f>
        <v>4.9042621781850641E-2</v>
      </c>
    </row>
    <row r="42" spans="1:8" x14ac:dyDescent="0.35">
      <c r="A42">
        <f t="shared" si="1"/>
        <v>140</v>
      </c>
      <c r="B42">
        <f t="shared" si="2"/>
        <v>4100</v>
      </c>
      <c r="C42">
        <f t="shared" si="3"/>
        <v>0.6</v>
      </c>
      <c r="D42">
        <f t="shared" si="4"/>
        <v>0.15</v>
      </c>
      <c r="E42">
        <f t="shared" si="5"/>
        <v>0.5</v>
      </c>
      <c r="F42">
        <f t="shared" si="6"/>
        <v>0.02</v>
      </c>
      <c r="G42" cm="1">
        <f t="array" ref="G42">PengRobinsonZ(A42, B42, C42, D42,E42,F42)</f>
        <v>0.62802603206948837</v>
      </c>
      <c r="H42" cm="1">
        <f t="array" ref="H42">LBC(G42, A42, B42, C42, D42, E42, F42)</f>
        <v>4.9882663594091214E-2</v>
      </c>
    </row>
    <row r="43" spans="1:8" x14ac:dyDescent="0.35">
      <c r="A43">
        <f t="shared" si="1"/>
        <v>140</v>
      </c>
      <c r="B43">
        <f t="shared" si="2"/>
        <v>4200</v>
      </c>
      <c r="C43">
        <f t="shared" si="3"/>
        <v>0.6</v>
      </c>
      <c r="D43">
        <f t="shared" si="4"/>
        <v>0.15</v>
      </c>
      <c r="E43">
        <f t="shared" si="5"/>
        <v>0.5</v>
      </c>
      <c r="F43">
        <f t="shared" si="6"/>
        <v>0.02</v>
      </c>
      <c r="G43" cm="1">
        <f t="array" ref="G43">PengRobinsonZ(A43, B43, C43, D43,E43,F43)</f>
        <v>0.63702622015045873</v>
      </c>
      <c r="H43" cm="1">
        <f t="array" ref="H43">LBC(G43, A43, B43, C43, D43, E43, F43)</f>
        <v>5.0702464463866531E-2</v>
      </c>
    </row>
    <row r="44" spans="1:8" x14ac:dyDescent="0.35">
      <c r="A44">
        <f t="shared" si="1"/>
        <v>140</v>
      </c>
      <c r="B44">
        <f t="shared" si="2"/>
        <v>4300</v>
      </c>
      <c r="C44">
        <f t="shared" si="3"/>
        <v>0.6</v>
      </c>
      <c r="D44">
        <f t="shared" si="4"/>
        <v>0.15</v>
      </c>
      <c r="E44">
        <f t="shared" si="5"/>
        <v>0.5</v>
      </c>
      <c r="F44">
        <f t="shared" si="6"/>
        <v>0.02</v>
      </c>
      <c r="G44" cm="1">
        <f t="array" ref="G44">PengRobinsonZ(A44, B44, C44, D44,E44,F44)</f>
        <v>0.64609690241439655</v>
      </c>
      <c r="H44" cm="1">
        <f t="array" ref="H44">LBC(G44, A44, B44, C44, D44, E44, F44)</f>
        <v>5.1503260908273188E-2</v>
      </c>
    </row>
    <row r="45" spans="1:8" x14ac:dyDescent="0.35">
      <c r="A45">
        <f t="shared" si="1"/>
        <v>140</v>
      </c>
      <c r="B45">
        <f t="shared" si="2"/>
        <v>4400</v>
      </c>
      <c r="C45">
        <f t="shared" si="3"/>
        <v>0.6</v>
      </c>
      <c r="D45">
        <f t="shared" si="4"/>
        <v>0.15</v>
      </c>
      <c r="E45">
        <f t="shared" si="5"/>
        <v>0.5</v>
      </c>
      <c r="F45">
        <f t="shared" si="6"/>
        <v>0.02</v>
      </c>
      <c r="G45" cm="1">
        <f t="array" ref="G45">PengRobinsonZ(A45, B45, C45, D45,E45,F45)</f>
        <v>0.65522836411314234</v>
      </c>
      <c r="H45" cm="1">
        <f t="array" ref="H45">LBC(G45, A45, B45, C45, D45, E45, F45)</f>
        <v>5.2286180157582157E-2</v>
      </c>
    </row>
    <row r="46" spans="1:8" x14ac:dyDescent="0.35">
      <c r="A46">
        <f t="shared" si="1"/>
        <v>140</v>
      </c>
      <c r="B46">
        <f t="shared" si="2"/>
        <v>4500</v>
      </c>
      <c r="C46">
        <f t="shared" si="3"/>
        <v>0.6</v>
      </c>
      <c r="D46">
        <f t="shared" si="4"/>
        <v>0.15</v>
      </c>
      <c r="E46">
        <f t="shared" si="5"/>
        <v>0.5</v>
      </c>
      <c r="F46">
        <f t="shared" si="6"/>
        <v>0.02</v>
      </c>
      <c r="G46" cm="1">
        <f t="array" ref="G46">PengRobinsonZ(A46, B46, C46, D46,E46,F46)</f>
        <v>0.66441225798264558</v>
      </c>
      <c r="H46" cm="1">
        <f t="array" ref="H46">LBC(G46, A46, B46, C46, D46, E46, F46)</f>
        <v>5.3052251985661762E-2</v>
      </c>
    </row>
    <row r="47" spans="1:8" x14ac:dyDescent="0.35">
      <c r="A47">
        <f t="shared" si="1"/>
        <v>140</v>
      </c>
      <c r="B47">
        <f t="shared" si="2"/>
        <v>4600</v>
      </c>
      <c r="C47">
        <f t="shared" si="3"/>
        <v>0.6</v>
      </c>
      <c r="D47">
        <f t="shared" si="4"/>
        <v>0.15</v>
      </c>
      <c r="E47">
        <f t="shared" si="5"/>
        <v>0.5</v>
      </c>
      <c r="F47">
        <f t="shared" si="6"/>
        <v>0.02</v>
      </c>
      <c r="G47" cm="1">
        <f t="array" ref="G47">PengRobinsonZ(A47, B47, C47, D47,E47,F47)</f>
        <v>0.67364138250967398</v>
      </c>
      <c r="H47" cm="1">
        <f t="array" ref="H47">LBC(G47, A47, B47, C47, D47, E47, F47)</f>
        <v>5.3802419134120406E-2</v>
      </c>
    </row>
    <row r="48" spans="1:8" x14ac:dyDescent="0.35">
      <c r="A48">
        <f t="shared" si="1"/>
        <v>140</v>
      </c>
      <c r="B48">
        <f t="shared" si="2"/>
        <v>4700</v>
      </c>
      <c r="C48">
        <f t="shared" si="3"/>
        <v>0.6</v>
      </c>
      <c r="D48">
        <f t="shared" si="4"/>
        <v>0.15</v>
      </c>
      <c r="E48">
        <f t="shared" si="5"/>
        <v>0.5</v>
      </c>
      <c r="F48">
        <f t="shared" si="6"/>
        <v>0.02</v>
      </c>
      <c r="G48" cm="1">
        <f t="array" ref="G48">PengRobinsonZ(A48, B48, C48, D48,E48,F48)</f>
        <v>0.68290950115628524</v>
      </c>
      <c r="H48" cm="1">
        <f t="array" ref="H48">LBC(G48, A48, B48, C48, D48, E48, F48)</f>
        <v>5.4537546487850058E-2</v>
      </c>
    </row>
    <row r="49" spans="1:8" x14ac:dyDescent="0.35">
      <c r="A49">
        <f t="shared" si="1"/>
        <v>140</v>
      </c>
      <c r="B49">
        <f t="shared" si="2"/>
        <v>4800</v>
      </c>
      <c r="C49">
        <f t="shared" si="3"/>
        <v>0.6</v>
      </c>
      <c r="D49">
        <f t="shared" si="4"/>
        <v>0.15</v>
      </c>
      <c r="E49">
        <f t="shared" si="5"/>
        <v>0.5</v>
      </c>
      <c r="F49">
        <f t="shared" si="6"/>
        <v>0.02</v>
      </c>
      <c r="G49" cm="1">
        <f t="array" ref="G49">PengRobinsonZ(A49, B49, C49, D49,E49,F49)</f>
        <v>0.69221119409816656</v>
      </c>
      <c r="H49" cm="1">
        <f t="array" ref="H49">LBC(G49, A49, B49, C49, D49, E49, F49)</f>
        <v>5.5258429151078044E-2</v>
      </c>
    </row>
    <row r="50" spans="1:8" x14ac:dyDescent="0.35">
      <c r="A50">
        <f t="shared" si="1"/>
        <v>140</v>
      </c>
      <c r="B50">
        <f t="shared" si="2"/>
        <v>4900</v>
      </c>
      <c r="C50">
        <f t="shared" si="3"/>
        <v>0.6</v>
      </c>
      <c r="D50">
        <f t="shared" si="4"/>
        <v>0.15</v>
      </c>
      <c r="E50">
        <f t="shared" si="5"/>
        <v>0.5</v>
      </c>
      <c r="F50">
        <f t="shared" si="6"/>
        <v>0.02</v>
      </c>
      <c r="G50" cm="1">
        <f t="array" ref="G50">PengRobinsonZ(A50, B50, C50, D50,E50,F50)</f>
        <v>0.70154173594073754</v>
      </c>
      <c r="H50" cm="1">
        <f t="array" ref="H50">LBC(G50, A50, B50, C50, D50, E50, F50)</f>
        <v>5.5965799560136108E-2</v>
      </c>
    </row>
    <row r="51" spans="1:8" x14ac:dyDescent="0.35">
      <c r="A51">
        <f t="shared" si="1"/>
        <v>140</v>
      </c>
      <c r="B51">
        <f t="shared" si="2"/>
        <v>5000</v>
      </c>
      <c r="C51">
        <f t="shared" si="3"/>
        <v>0.6</v>
      </c>
      <c r="D51">
        <f t="shared" si="4"/>
        <v>0.15</v>
      </c>
      <c r="E51">
        <f t="shared" si="5"/>
        <v>0.5</v>
      </c>
      <c r="F51">
        <f t="shared" si="6"/>
        <v>0.02</v>
      </c>
      <c r="G51" cm="1">
        <f t="array" ref="G51">PengRobinsonZ(A51, B51, C51, D51,E51,F51)</f>
        <v>0.71089699431939224</v>
      </c>
      <c r="H51" cm="1">
        <f t="array" ref="H51">LBC(G51, A51, B51, C51, D51, E51, F51)</f>
        <v>5.6660333754782119E-2</v>
      </c>
    </row>
    <row r="52" spans="1:8" x14ac:dyDescent="0.35">
      <c r="A52">
        <f t="shared" si="1"/>
        <v>140</v>
      </c>
      <c r="B52">
        <f t="shared" si="2"/>
        <v>5100</v>
      </c>
      <c r="C52">
        <f t="shared" si="3"/>
        <v>0.6</v>
      </c>
      <c r="D52">
        <f t="shared" si="4"/>
        <v>0.15</v>
      </c>
      <c r="E52">
        <f t="shared" si="5"/>
        <v>0.5</v>
      </c>
      <c r="F52">
        <f t="shared" si="6"/>
        <v>0.02</v>
      </c>
      <c r="G52" cm="1">
        <f t="array" ref="G52">PengRobinsonZ(A52, B52, C52, D52,E52,F52)</f>
        <v>0.72027334538845555</v>
      </c>
      <c r="H52" cm="1">
        <f t="array" ref="H52">LBC(G52, A52, B52, C52, D52, E52, F52)</f>
        <v>5.7342656915597853E-2</v>
      </c>
    </row>
    <row r="53" spans="1:8" x14ac:dyDescent="0.35">
      <c r="A53">
        <f t="shared" si="1"/>
        <v>140</v>
      </c>
      <c r="B53">
        <f t="shared" si="2"/>
        <v>5200</v>
      </c>
      <c r="C53">
        <f t="shared" si="3"/>
        <v>0.6</v>
      </c>
      <c r="D53">
        <f t="shared" si="4"/>
        <v>0.15</v>
      </c>
      <c r="E53">
        <f t="shared" si="5"/>
        <v>0.5</v>
      </c>
      <c r="F53">
        <f t="shared" si="6"/>
        <v>0.02</v>
      </c>
      <c r="G53" cm="1">
        <f t="array" ref="G53">PengRobinsonZ(A53, B53, C53, D53,E53,F53)</f>
        <v>0.72966760304504019</v>
      </c>
      <c r="H53" cm="1">
        <f t="array" ref="H53">LBC(G53, A53, B53, C53, D53, E53, F53)</f>
        <v>5.8013348261550288E-2</v>
      </c>
    </row>
    <row r="54" spans="1:8" x14ac:dyDescent="0.35">
      <c r="A54">
        <f t="shared" si="1"/>
        <v>140</v>
      </c>
      <c r="B54">
        <f t="shared" si="2"/>
        <v>5300</v>
      </c>
      <c r="C54">
        <f t="shared" si="3"/>
        <v>0.6</v>
      </c>
      <c r="D54">
        <f t="shared" si="4"/>
        <v>0.15</v>
      </c>
      <c r="E54">
        <f t="shared" si="5"/>
        <v>0.5</v>
      </c>
      <c r="F54">
        <f t="shared" si="6"/>
        <v>0.02</v>
      </c>
      <c r="G54" cm="1">
        <f t="array" ref="G54">PengRobinsonZ(A54, B54, C54, D54,E54,F54)</f>
        <v>0.7390769593832458</v>
      </c>
      <c r="H54" cm="1">
        <f t="array" ref="H54">LBC(G54, A54, B54, C54, D54, E54, F54)</f>
        <v>5.8672945389592508E-2</v>
      </c>
    </row>
    <row r="55" spans="1:8" x14ac:dyDescent="0.35">
      <c r="A55">
        <f t="shared" si="1"/>
        <v>140</v>
      </c>
      <c r="B55">
        <f t="shared" si="2"/>
        <v>5400</v>
      </c>
      <c r="C55">
        <f t="shared" si="3"/>
        <v>0.6</v>
      </c>
      <c r="D55">
        <f t="shared" si="4"/>
        <v>0.15</v>
      </c>
      <c r="E55">
        <f t="shared" si="5"/>
        <v>0.5</v>
      </c>
      <c r="F55">
        <f t="shared" si="6"/>
        <v>0.02</v>
      </c>
      <c r="G55" cm="1">
        <f t="array" ref="G55">PengRobinsonZ(A55, B55, C55, D55,E55,F55)</f>
        <v>0.74849893437814219</v>
      </c>
      <c r="H55" cm="1">
        <f t="array" ref="H55">LBC(G55, A55, B55, C55, D55, E55, F55)</f>
        <v>5.9321948127318398E-2</v>
      </c>
    </row>
    <row r="56" spans="1:8" x14ac:dyDescent="0.35">
      <c r="A56">
        <f t="shared" si="1"/>
        <v>140</v>
      </c>
      <c r="B56">
        <f t="shared" si="2"/>
        <v>5500</v>
      </c>
      <c r="C56">
        <f t="shared" si="3"/>
        <v>0.6</v>
      </c>
      <c r="D56">
        <f t="shared" si="4"/>
        <v>0.15</v>
      </c>
      <c r="E56">
        <f t="shared" si="5"/>
        <v>0.5</v>
      </c>
      <c r="F56">
        <f t="shared" si="6"/>
        <v>0.02</v>
      </c>
      <c r="G56" cm="1">
        <f t="array" ref="G56">PengRobinsonZ(A56, B56, C56, D56,E56,F56)</f>
        <v>0.75793133319262029</v>
      </c>
      <c r="H56" cm="1">
        <f t="array" ref="H56">LBC(G56, A56, B56, C56, D56, E56, F56)</f>
        <v>5.9960821960150464E-2</v>
      </c>
    </row>
    <row r="57" spans="1:8" x14ac:dyDescent="0.35">
      <c r="A57">
        <f t="shared" si="1"/>
        <v>140</v>
      </c>
      <c r="B57">
        <f t="shared" si="2"/>
        <v>5600</v>
      </c>
      <c r="C57">
        <f t="shared" si="3"/>
        <v>0.6</v>
      </c>
      <c r="D57">
        <f t="shared" si="4"/>
        <v>0.15</v>
      </c>
      <c r="E57">
        <f t="shared" si="5"/>
        <v>0.5</v>
      </c>
      <c r="F57">
        <f t="shared" si="6"/>
        <v>0.02</v>
      </c>
      <c r="G57" cm="1">
        <f t="array" ref="G57">PengRobinsonZ(A57, B57, C57, D57,E57,F57)</f>
        <v>0.76737220980949095</v>
      </c>
      <c r="H57" cm="1">
        <f t="array" ref="H57">LBC(G57, A57, B57, C57, D57, E57, F57)</f>
        <v>6.0590001086238132E-2</v>
      </c>
    </row>
    <row r="58" spans="1:8" x14ac:dyDescent="0.35">
      <c r="A58">
        <f t="shared" si="1"/>
        <v>140</v>
      </c>
      <c r="B58">
        <f t="shared" si="2"/>
        <v>5700</v>
      </c>
      <c r="C58">
        <f t="shared" si="3"/>
        <v>0.6</v>
      </c>
      <c r="D58">
        <f t="shared" si="4"/>
        <v>0.15</v>
      </c>
      <c r="E58">
        <f t="shared" si="5"/>
        <v>0.5</v>
      </c>
      <c r="F58">
        <f t="shared" si="6"/>
        <v>0.02</v>
      </c>
      <c r="G58" cm="1">
        <f t="array" ref="G58">PengRobinsonZ(A58, B58, C58, D58,E58,F58)</f>
        <v>0.77681983593557313</v>
      </c>
      <c r="H58" cm="1">
        <f t="array" ref="H58">LBC(G58, A58, B58, C58, D58, E58, F58)</f>
        <v>6.1209891145067079E-2</v>
      </c>
    </row>
    <row r="59" spans="1:8" x14ac:dyDescent="0.35">
      <c r="A59">
        <f t="shared" si="1"/>
        <v>140</v>
      </c>
      <c r="B59">
        <f t="shared" si="2"/>
        <v>5800</v>
      </c>
      <c r="C59">
        <f t="shared" si="3"/>
        <v>0.6</v>
      </c>
      <c r="D59">
        <f t="shared" si="4"/>
        <v>0.15</v>
      </c>
      <c r="E59">
        <f t="shared" si="5"/>
        <v>0.5</v>
      </c>
      <c r="F59">
        <f t="shared" si="6"/>
        <v>0.02</v>
      </c>
      <c r="G59" cm="1">
        <f t="array" ref="G59">PengRobinsonZ(A59, B59, C59, D59,E59,F59)</f>
        <v>0.78627267431868031</v>
      </c>
      <c r="H59" cm="1">
        <f t="array" ref="H59">LBC(G59, A59, B59, C59, D59, E59, F59)</f>
        <v>6.1820871659585212E-2</v>
      </c>
    </row>
    <row r="60" spans="1:8" x14ac:dyDescent="0.35">
      <c r="A60">
        <f t="shared" si="1"/>
        <v>140</v>
      </c>
      <c r="B60">
        <f t="shared" si="2"/>
        <v>5900</v>
      </c>
      <c r="C60">
        <f t="shared" si="3"/>
        <v>0.6</v>
      </c>
      <c r="D60">
        <f t="shared" si="4"/>
        <v>0.15</v>
      </c>
      <c r="E60">
        <f t="shared" si="5"/>
        <v>0.5</v>
      </c>
      <c r="F60">
        <f t="shared" si="6"/>
        <v>0.02</v>
      </c>
      <c r="G60" cm="1">
        <f t="array" ref="G60">PengRobinsonZ(A60, B60, C60, D60,E60,F60)</f>
        <v>0.79572935577346526</v>
      </c>
      <c r="H60" cm="1">
        <f t="array" ref="H60">LBC(G60, A60, B60, C60, D60, E60, F60)</f>
        <v>6.2423298226329534E-2</v>
      </c>
    </row>
    <row r="61" spans="1:8" x14ac:dyDescent="0.35">
      <c r="A61">
        <f t="shared" si="1"/>
        <v>140</v>
      </c>
      <c r="B61">
        <f t="shared" si="2"/>
        <v>6000</v>
      </c>
      <c r="C61">
        <f t="shared" si="3"/>
        <v>0.6</v>
      </c>
      <c r="D61">
        <f t="shared" si="4"/>
        <v>0.15</v>
      </c>
      <c r="E61">
        <f t="shared" si="5"/>
        <v>0.5</v>
      </c>
      <c r="F61">
        <f t="shared" si="6"/>
        <v>0.02</v>
      </c>
      <c r="G61" cm="1">
        <f t="array" ref="G61">PengRobinsonZ(A61, B61, C61, D61,E61,F61)</f>
        <v>0.8051886593365688</v>
      </c>
      <c r="H61" cm="1">
        <f t="array" ref="H61">LBC(G61, A61, B61, C61, D61, E61, F61)</f>
        <v>6.3017504483456624E-2</v>
      </c>
    </row>
    <row r="62" spans="1:8" x14ac:dyDescent="0.35">
      <c r="A62">
        <f t="shared" si="1"/>
        <v>140</v>
      </c>
      <c r="B62">
        <f t="shared" si="2"/>
        <v>6100</v>
      </c>
      <c r="C62">
        <f t="shared" si="3"/>
        <v>0.6</v>
      </c>
      <c r="D62">
        <f t="shared" si="4"/>
        <v>0.15</v>
      </c>
      <c r="E62">
        <f t="shared" si="5"/>
        <v>0.5</v>
      </c>
      <c r="F62">
        <f t="shared" si="6"/>
        <v>0.02</v>
      </c>
      <c r="G62" cm="1">
        <f t="array" ref="G62">PengRobinsonZ(A62, B62, C62, D62,E62,F62)</f>
        <v>0.81464949507191953</v>
      </c>
      <c r="H62" cm="1">
        <f t="array" ref="H62">LBC(G62, A62, B62, C62, D62, E62, F62)</f>
        <v>6.3603803882651341E-2</v>
      </c>
    </row>
    <row r="63" spans="1:8" x14ac:dyDescent="0.35">
      <c r="A63">
        <f t="shared" si="1"/>
        <v>140</v>
      </c>
      <c r="B63">
        <f t="shared" si="2"/>
        <v>6200</v>
      </c>
      <c r="C63">
        <f t="shared" si="3"/>
        <v>0.6</v>
      </c>
      <c r="D63">
        <f t="shared" si="4"/>
        <v>0.15</v>
      </c>
      <c r="E63">
        <f t="shared" si="5"/>
        <v>0.5</v>
      </c>
      <c r="F63">
        <f t="shared" si="6"/>
        <v>0.02</v>
      </c>
      <c r="G63" cm="1">
        <f t="array" ref="G63">PengRobinsonZ(A63, B63, C63, D63,E63,F63)</f>
        <v>0.82411088912839214</v>
      </c>
      <c r="H63" cm="1">
        <f t="array" ref="H63">LBC(G63, A63, B63, C63, D63, E63, F63)</f>
        <v>6.4182491287508123E-2</v>
      </c>
    </row>
    <row r="64" spans="1:8" x14ac:dyDescent="0.35">
      <c r="A64">
        <f t="shared" si="1"/>
        <v>140</v>
      </c>
      <c r="B64">
        <f t="shared" si="2"/>
        <v>6300</v>
      </c>
      <c r="C64">
        <f t="shared" si="3"/>
        <v>0.6</v>
      </c>
      <c r="D64">
        <f t="shared" si="4"/>
        <v>0.15</v>
      </c>
      <c r="E64">
        <f t="shared" si="5"/>
        <v>0.5</v>
      </c>
      <c r="F64">
        <f t="shared" si="6"/>
        <v>0.02</v>
      </c>
      <c r="G64" cm="1">
        <f t="array" ref="G64">PengRobinsonZ(A64, B64, C64, D64,E64,F64)</f>
        <v>0.83357197071828781</v>
      </c>
      <c r="H64" cm="1">
        <f t="array" ref="H64">LBC(G64, A64, B64, C64, D64, E64, F64)</f>
        <v>6.4753844418073137E-2</v>
      </c>
    </row>
    <row r="65" spans="1:8" x14ac:dyDescent="0.35">
      <c r="A65">
        <f t="shared" si="1"/>
        <v>140</v>
      </c>
      <c r="B65">
        <f t="shared" si="2"/>
        <v>6400</v>
      </c>
      <c r="C65">
        <f t="shared" si="3"/>
        <v>0.6</v>
      </c>
      <c r="D65">
        <f t="shared" si="4"/>
        <v>0.15</v>
      </c>
      <c r="E65">
        <f t="shared" si="5"/>
        <v>0.5</v>
      </c>
      <c r="F65">
        <f t="shared" si="6"/>
        <v>0.02</v>
      </c>
      <c r="G65" cm="1">
        <f t="array" ref="G65">PengRobinsonZ(A65, B65, C65, D65,E65,F65)</f>
        <v>0.84303196073923714</v>
      </c>
      <c r="H65" cm="1">
        <f t="array" ref="H65">LBC(G65, A65, B65, C65, D65, E65, F65)</f>
        <v>6.5318125158736418E-2</v>
      </c>
    </row>
    <row r="66" spans="1:8" x14ac:dyDescent="0.35">
      <c r="A66">
        <f t="shared" si="1"/>
        <v>140</v>
      </c>
      <c r="B66">
        <f t="shared" si="2"/>
        <v>6500</v>
      </c>
      <c r="C66">
        <f t="shared" si="3"/>
        <v>0.6</v>
      </c>
      <c r="D66">
        <f t="shared" si="4"/>
        <v>0.15</v>
      </c>
      <c r="E66">
        <f t="shared" si="5"/>
        <v>0.5</v>
      </c>
      <c r="F66">
        <f t="shared" si="6"/>
        <v>0.02</v>
      </c>
      <c r="G66" cm="1">
        <f t="array" ref="G66">PengRobinsonZ(A66, B66, C66, D66,E66,F66)</f>
        <v>0.85249016180660142</v>
      </c>
      <c r="H66" cm="1">
        <f t="array" ref="H66">LBC(G66, A66, B66, C66, D66, E66, F66)</f>
        <v>6.5875580744506224E-2</v>
      </c>
    </row>
    <row r="67" spans="1:8" x14ac:dyDescent="0.35">
      <c r="A67">
        <f t="shared" si="1"/>
        <v>140</v>
      </c>
      <c r="B67">
        <f t="shared" si="2"/>
        <v>6600</v>
      </c>
      <c r="C67">
        <f t="shared" si="3"/>
        <v>0.6</v>
      </c>
      <c r="D67">
        <f t="shared" si="4"/>
        <v>0.15</v>
      </c>
      <c r="E67">
        <f t="shared" si="5"/>
        <v>0.5</v>
      </c>
      <c r="F67">
        <f t="shared" si="6"/>
        <v>0.02</v>
      </c>
      <c r="G67" cm="1">
        <f t="array" ref="G67">PengRobinsonZ(A67, B67, C67, D67,E67,F67)</f>
        <v>0.86194594950009074</v>
      </c>
      <c r="H67" cm="1">
        <f t="array" ref="H67">LBC(G67, A67, B67, C67, D67, E67, F67)</f>
        <v>6.6426444838837334E-2</v>
      </c>
    </row>
    <row r="68" spans="1:8" x14ac:dyDescent="0.35">
      <c r="A68">
        <f t="shared" ref="A68:A131" si="7">A67</f>
        <v>140</v>
      </c>
      <c r="B68">
        <f t="shared" ref="B68:B131" si="8">B67+100</f>
        <v>6700</v>
      </c>
      <c r="C68">
        <f t="shared" ref="C68:C131" si="9">C67</f>
        <v>0.6</v>
      </c>
      <c r="D68">
        <f t="shared" ref="D68:D131" si="10">D67</f>
        <v>0.15</v>
      </c>
      <c r="E68">
        <f t="shared" ref="E68:E131" si="11">E67</f>
        <v>0.5</v>
      </c>
      <c r="F68">
        <f t="shared" ref="F68:F131" si="12">F67</f>
        <v>0.02</v>
      </c>
      <c r="G68" cm="1">
        <f t="array" ref="G68">PengRobinsonZ(A68, B68, C68, D68,E68,F68)</f>
        <v>0.87139876465863753</v>
      </c>
      <c r="H68" cm="1">
        <f t="array" ref="H68">LBC(G68, A68, B68, C68, D68, E68, F68)</f>
        <v>6.6970938514577597E-2</v>
      </c>
    </row>
    <row r="69" spans="1:8" x14ac:dyDescent="0.35">
      <c r="A69">
        <f t="shared" si="7"/>
        <v>140</v>
      </c>
      <c r="B69">
        <f t="shared" si="8"/>
        <v>6800</v>
      </c>
      <c r="C69">
        <f t="shared" si="9"/>
        <v>0.6</v>
      </c>
      <c r="D69">
        <f t="shared" si="10"/>
        <v>0.15</v>
      </c>
      <c r="E69">
        <f t="shared" si="11"/>
        <v>0.5</v>
      </c>
      <c r="F69">
        <f t="shared" si="12"/>
        <v>0.02</v>
      </c>
      <c r="G69" cm="1">
        <f t="array" ref="G69">PengRobinsonZ(A69, B69, C69, D69,E69,F69)</f>
        <v>0.8808481065827527</v>
      </c>
      <c r="H69" cm="1">
        <f t="array" ref="H69">LBC(G69, A69, B69, C69, D69, E69, F69)</f>
        <v>6.750927114820475E-2</v>
      </c>
    </row>
    <row r="70" spans="1:8" x14ac:dyDescent="0.35">
      <c r="A70">
        <f t="shared" si="7"/>
        <v>140</v>
      </c>
      <c r="B70">
        <f t="shared" si="8"/>
        <v>6900</v>
      </c>
      <c r="C70">
        <f t="shared" si="9"/>
        <v>0.6</v>
      </c>
      <c r="D70">
        <f t="shared" si="10"/>
        <v>0.15</v>
      </c>
      <c r="E70">
        <f t="shared" si="11"/>
        <v>0.5</v>
      </c>
      <c r="F70">
        <f t="shared" si="12"/>
        <v>0.02</v>
      </c>
      <c r="G70" cm="1">
        <f t="array" ref="G70">PengRobinsonZ(A70, B70, C70, D70,E70,F70)</f>
        <v>0.89029352702457576</v>
      </c>
      <c r="H70" cm="1">
        <f t="array" ref="H70">LBC(G70, A70, B70, C70, D70, E70, F70)</f>
        <v>6.8041641236315273E-2</v>
      </c>
    </row>
    <row r="71" spans="1:8" x14ac:dyDescent="0.35">
      <c r="A71">
        <f t="shared" si="7"/>
        <v>140</v>
      </c>
      <c r="B71">
        <f t="shared" si="8"/>
        <v>7000</v>
      </c>
      <c r="C71">
        <f t="shared" si="9"/>
        <v>0.6</v>
      </c>
      <c r="D71">
        <f t="shared" si="10"/>
        <v>0.15</v>
      </c>
      <c r="E71">
        <f t="shared" si="11"/>
        <v>0.5</v>
      </c>
      <c r="F71">
        <f t="shared" si="12"/>
        <v>0.02</v>
      </c>
      <c r="G71" cm="1">
        <f t="array" ref="G71">PengRobinsonZ(A71, B71, C71, D71,E71,F71)</f>
        <v>0.89973462486339928</v>
      </c>
      <c r="H71" cm="1">
        <f t="array" ref="H71">LBC(G71, A71, B71, C71, D71, E71, F71)</f>
        <v>6.8568237142279345E-2</v>
      </c>
    </row>
    <row r="72" spans="1:8" x14ac:dyDescent="0.35">
      <c r="A72">
        <f t="shared" si="7"/>
        <v>140</v>
      </c>
      <c r="B72">
        <f t="shared" si="8"/>
        <v>7100</v>
      </c>
      <c r="C72">
        <f t="shared" si="9"/>
        <v>0.6</v>
      </c>
      <c r="D72">
        <f t="shared" si="10"/>
        <v>0.15</v>
      </c>
      <c r="E72">
        <f t="shared" si="11"/>
        <v>0.5</v>
      </c>
      <c r="F72">
        <f t="shared" si="12"/>
        <v>0.02</v>
      </c>
      <c r="G72" cm="1">
        <f t="array" ref="G72">PengRobinsonZ(A72, B72, C72, D72,E72,F72)</f>
        <v>0.90917104137915261</v>
      </c>
      <c r="H72" cm="1">
        <f t="array" ref="H72">LBC(G72, A72, B72, C72, D72, E72, F72)</f>
        <v>6.9089237780062013E-2</v>
      </c>
    </row>
    <row r="73" spans="1:8" x14ac:dyDescent="0.35">
      <c r="A73">
        <f t="shared" si="7"/>
        <v>140</v>
      </c>
      <c r="B73">
        <f t="shared" si="8"/>
        <v>7200</v>
      </c>
      <c r="C73">
        <f t="shared" si="9"/>
        <v>0.6</v>
      </c>
      <c r="D73">
        <f t="shared" si="10"/>
        <v>0.15</v>
      </c>
      <c r="E73">
        <f t="shared" si="11"/>
        <v>0.5</v>
      </c>
      <c r="F73">
        <f t="shared" si="12"/>
        <v>0.02</v>
      </c>
      <c r="G73" cm="1">
        <f t="array" ref="G73">PengRobinsonZ(A73, B73, C73, D73,E73,F73)</f>
        <v>0.91860245604875024</v>
      </c>
      <c r="H73" cm="1">
        <f t="array" ref="H73">LBC(G73, A73, B73, C73, D73, E73, F73)</f>
        <v>6.9604813241413627E-2</v>
      </c>
    </row>
    <row r="74" spans="1:8" x14ac:dyDescent="0.35">
      <c r="A74">
        <f t="shared" si="7"/>
        <v>140</v>
      </c>
      <c r="B74">
        <f t="shared" si="8"/>
        <v>7300</v>
      </c>
      <c r="C74">
        <f t="shared" si="9"/>
        <v>0.6</v>
      </c>
      <c r="D74">
        <f t="shared" si="10"/>
        <v>0.15</v>
      </c>
      <c r="E74">
        <f t="shared" si="11"/>
        <v>0.5</v>
      </c>
      <c r="F74">
        <f t="shared" si="12"/>
        <v>0.02</v>
      </c>
      <c r="G74" cm="1">
        <f t="array" ref="G74">PengRobinsonZ(A74, B74, C74, D74,E74,F74)</f>
        <v>0.92802858280067757</v>
      </c>
      <c r="H74" cm="1">
        <f t="array" ref="H74">LBC(G74, A74, B74, C74, D74, E74, F74)</f>
        <v>7.0115125371933623E-2</v>
      </c>
    </row>
    <row r="75" spans="1:8" x14ac:dyDescent="0.35">
      <c r="A75">
        <f t="shared" si="7"/>
        <v>140</v>
      </c>
      <c r="B75">
        <f t="shared" si="8"/>
        <v>7400</v>
      </c>
      <c r="C75">
        <f t="shared" si="9"/>
        <v>0.6</v>
      </c>
      <c r="D75">
        <f t="shared" si="10"/>
        <v>0.15</v>
      </c>
      <c r="E75">
        <f t="shared" si="11"/>
        <v>0.5</v>
      </c>
      <c r="F75">
        <f t="shared" si="12"/>
        <v>0.02</v>
      </c>
      <c r="G75" cm="1">
        <f t="array" ref="G75">PengRobinsonZ(A75, B75, C75, D75,E75,F75)</f>
        <v>0.93744916667203437</v>
      </c>
      <c r="H75" cm="1">
        <f t="array" ref="H75">LBC(G75, A75, B75, C75, D75, E75, F75)</f>
        <v>7.0620328300908253E-2</v>
      </c>
    </row>
    <row r="76" spans="1:8" x14ac:dyDescent="0.35">
      <c r="A76">
        <f t="shared" si="7"/>
        <v>140</v>
      </c>
      <c r="B76">
        <f t="shared" si="8"/>
        <v>7500</v>
      </c>
      <c r="C76">
        <f t="shared" si="9"/>
        <v>0.6</v>
      </c>
      <c r="D76">
        <f t="shared" si="10"/>
        <v>0.15</v>
      </c>
      <c r="E76">
        <f t="shared" si="11"/>
        <v>0.5</v>
      </c>
      <c r="F76">
        <f t="shared" si="12"/>
        <v>0.02</v>
      </c>
      <c r="G76" cm="1">
        <f t="array" ref="G76">PengRobinsonZ(A76, B76, C76, D76,E76,F76)</f>
        <v>0.94686398081981538</v>
      </c>
      <c r="H76" cm="1">
        <f t="array" ref="H76">LBC(G76, A76, B76, C76, D76, E76, F76)</f>
        <v>7.1120568929281078E-2</v>
      </c>
    </row>
    <row r="77" spans="1:8" x14ac:dyDescent="0.35">
      <c r="A77">
        <f t="shared" si="7"/>
        <v>140</v>
      </c>
      <c r="B77">
        <f t="shared" si="8"/>
        <v>7600</v>
      </c>
      <c r="C77">
        <f t="shared" si="9"/>
        <v>0.6</v>
      </c>
      <c r="D77">
        <f t="shared" si="10"/>
        <v>0.15</v>
      </c>
      <c r="E77">
        <f t="shared" si="11"/>
        <v>0.5</v>
      </c>
      <c r="F77">
        <f t="shared" si="12"/>
        <v>0.02</v>
      </c>
      <c r="G77" cm="1">
        <f t="array" ref="G77">PengRobinsonZ(A77, B77, C77, D77,E77,F77)</f>
        <v>0.956272823844591</v>
      </c>
      <c r="H77" cm="1">
        <f t="array" ref="H77">LBC(G77, A77, B77, C77, D77, E77, F77)</f>
        <v>7.1615987379651636E-2</v>
      </c>
    </row>
    <row r="78" spans="1:8" x14ac:dyDescent="0.35">
      <c r="A78">
        <f t="shared" si="7"/>
        <v>140</v>
      </c>
      <c r="B78">
        <f t="shared" si="8"/>
        <v>7700</v>
      </c>
      <c r="C78">
        <f t="shared" si="9"/>
        <v>0.6</v>
      </c>
      <c r="D78">
        <f t="shared" si="10"/>
        <v>0.15</v>
      </c>
      <c r="E78">
        <f t="shared" si="11"/>
        <v>0.5</v>
      </c>
      <c r="F78">
        <f t="shared" si="12"/>
        <v>0.02</v>
      </c>
      <c r="G78" cm="1">
        <f t="array" ref="G78">PengRobinsonZ(A78, B78, C78, D78,E78,F78)</f>
        <v>0.96567551739025048</v>
      </c>
      <c r="H78" cm="1">
        <f t="array" ref="H78">LBC(G78, A78, B78, C78, D78, E78, F78)</f>
        <v>7.2106717411780583E-2</v>
      </c>
    </row>
    <row r="79" spans="1:8" x14ac:dyDescent="0.35">
      <c r="A79">
        <f t="shared" si="7"/>
        <v>140</v>
      </c>
      <c r="B79">
        <f t="shared" si="8"/>
        <v>7800</v>
      </c>
      <c r="C79">
        <f t="shared" si="9"/>
        <v>0.6</v>
      </c>
      <c r="D79">
        <f t="shared" si="10"/>
        <v>0.15</v>
      </c>
      <c r="E79">
        <f t="shared" si="11"/>
        <v>0.5</v>
      </c>
      <c r="F79">
        <f t="shared" si="12"/>
        <v>0.02</v>
      </c>
      <c r="G79" cm="1">
        <f t="array" ref="G79">PengRobinsonZ(A79, B79, C79, D79,E79,F79)</f>
        <v>0.97507190398814392</v>
      </c>
      <c r="H79" cm="1">
        <f t="array" ref="H79">LBC(G79, A79, B79, C79, D79, E79, F79)</f>
        <v>7.259288680671748E-2</v>
      </c>
    </row>
    <row r="80" spans="1:8" x14ac:dyDescent="0.35">
      <c r="A80">
        <f t="shared" si="7"/>
        <v>140</v>
      </c>
      <c r="B80">
        <f t="shared" si="8"/>
        <v>7900</v>
      </c>
      <c r="C80">
        <f t="shared" si="9"/>
        <v>0.6</v>
      </c>
      <c r="D80">
        <f t="shared" si="10"/>
        <v>0.15</v>
      </c>
      <c r="E80">
        <f t="shared" si="11"/>
        <v>0.5</v>
      </c>
      <c r="F80">
        <f t="shared" si="12"/>
        <v>0.02</v>
      </c>
      <c r="G80" cm="1">
        <f t="array" ref="G80">PengRobinsonZ(A80, B80, C80, D80,E80,F80)</f>
        <v>0.98446184511798973</v>
      </c>
      <c r="H80" cm="1">
        <f t="array" ref="H80">LBC(G80, A80, B80, C80, D80, E80, F80)</f>
        <v>7.3074617722344595E-2</v>
      </c>
    </row>
    <row r="81" spans="1:8" x14ac:dyDescent="0.35">
      <c r="A81">
        <f t="shared" si="7"/>
        <v>140</v>
      </c>
      <c r="B81">
        <f t="shared" si="8"/>
        <v>8000</v>
      </c>
      <c r="C81">
        <f t="shared" si="9"/>
        <v>0.6</v>
      </c>
      <c r="D81">
        <f t="shared" si="10"/>
        <v>0.15</v>
      </c>
      <c r="E81">
        <f t="shared" si="11"/>
        <v>0.5</v>
      </c>
      <c r="F81">
        <f t="shared" si="12"/>
        <v>0.02</v>
      </c>
      <c r="G81" cm="1">
        <f t="array" ref="G81">PengRobinsonZ(A81, B81, C81, D81,E81,F81)</f>
        <v>0.99384521946137494</v>
      </c>
      <c r="H81" cm="1">
        <f t="array" ref="H81">LBC(G81, A81, B81, C81, D81, E81, F81)</f>
        <v>7.3552027022845912E-2</v>
      </c>
    </row>
    <row r="82" spans="1:8" x14ac:dyDescent="0.35">
      <c r="A82">
        <f t="shared" si="7"/>
        <v>140</v>
      </c>
      <c r="B82">
        <f t="shared" si="8"/>
        <v>8100</v>
      </c>
      <c r="C82">
        <f t="shared" si="9"/>
        <v>0.6</v>
      </c>
      <c r="D82">
        <f t="shared" si="10"/>
        <v>0.15</v>
      </c>
      <c r="E82">
        <f t="shared" si="11"/>
        <v>0.5</v>
      </c>
      <c r="F82">
        <f t="shared" si="12"/>
        <v>0.02</v>
      </c>
      <c r="G82" cm="1">
        <f t="array" ref="G82">PengRobinsonZ(A82, B82, C82, D82,E82,F82)</f>
        <v>1.0032219213266595</v>
      </c>
      <c r="H82" cm="1">
        <f t="array" ref="H82">LBC(G82, A82, B82, C82, D82, E82, F82)</f>
        <v>7.4025226584358533E-2</v>
      </c>
    </row>
    <row r="83" spans="1:8" x14ac:dyDescent="0.35">
      <c r="A83">
        <f t="shared" si="7"/>
        <v>140</v>
      </c>
      <c r="B83">
        <f t="shared" si="8"/>
        <v>8200</v>
      </c>
      <c r="C83">
        <f t="shared" si="9"/>
        <v>0.6</v>
      </c>
      <c r="D83">
        <f t="shared" si="10"/>
        <v>0.15</v>
      </c>
      <c r="E83">
        <f t="shared" si="11"/>
        <v>0.5</v>
      </c>
      <c r="F83">
        <f t="shared" si="12"/>
        <v>0.02</v>
      </c>
      <c r="G83" cm="1">
        <f t="array" ref="G83">PengRobinsonZ(A83, B83, C83, D83,E83,F83)</f>
        <v>1.0125918592266763</v>
      </c>
      <c r="H83" cm="1">
        <f t="array" ref="H83">LBC(G83, A83, B83, C83, D83, E83, F83)</f>
        <v>7.4494323578839991E-2</v>
      </c>
    </row>
    <row r="84" spans="1:8" x14ac:dyDescent="0.35">
      <c r="A84">
        <f t="shared" si="7"/>
        <v>140</v>
      </c>
      <c r="B84">
        <f t="shared" si="8"/>
        <v>8300</v>
      </c>
      <c r="C84">
        <f t="shared" si="9"/>
        <v>0.6</v>
      </c>
      <c r="D84">
        <f t="shared" si="10"/>
        <v>0.15</v>
      </c>
      <c r="E84">
        <f t="shared" si="11"/>
        <v>0.5</v>
      </c>
      <c r="F84">
        <f t="shared" si="12"/>
        <v>0.02</v>
      </c>
      <c r="G84" cm="1">
        <f t="array" ref="G84">PengRobinsonZ(A84, B84, C84, D84,E84,F84)</f>
        <v>1.0219549545928595</v>
      </c>
      <c r="H84" cm="1">
        <f t="array" ref="H84">LBC(G84, A84, B84, C84, D84, E84, F84)</f>
        <v>7.4959420737985255E-2</v>
      </c>
    </row>
    <row r="85" spans="1:8" x14ac:dyDescent="0.35">
      <c r="A85">
        <f t="shared" si="7"/>
        <v>140</v>
      </c>
      <c r="B85">
        <f t="shared" si="8"/>
        <v>8400</v>
      </c>
      <c r="C85">
        <f t="shared" si="9"/>
        <v>0.6</v>
      </c>
      <c r="D85">
        <f t="shared" si="10"/>
        <v>0.15</v>
      </c>
      <c r="E85">
        <f t="shared" si="11"/>
        <v>0.5</v>
      </c>
      <c r="F85">
        <f t="shared" si="12"/>
        <v>0.02</v>
      </c>
      <c r="G85" cm="1">
        <f t="array" ref="G85">PengRobinsonZ(A85, B85, C85, D85,E85,F85)</f>
        <v>1.0313111406113638</v>
      </c>
      <c r="H85" cm="1">
        <f t="array" ref="H85">LBC(G85, A85, B85, C85, D85, E85, F85)</f>
        <v>7.5420616598850895E-2</v>
      </c>
    </row>
    <row r="86" spans="1:8" x14ac:dyDescent="0.35">
      <c r="A86">
        <f t="shared" si="7"/>
        <v>140</v>
      </c>
      <c r="B86">
        <f t="shared" si="8"/>
        <v>8500</v>
      </c>
      <c r="C86">
        <f t="shared" si="9"/>
        <v>0.6</v>
      </c>
      <c r="D86">
        <f t="shared" si="10"/>
        <v>0.15</v>
      </c>
      <c r="E86">
        <f t="shared" si="11"/>
        <v>0.5</v>
      </c>
      <c r="F86">
        <f t="shared" si="12"/>
        <v>0.02</v>
      </c>
      <c r="G86" cm="1">
        <f t="array" ref="G86">PengRobinsonZ(A86, B86, C86, D86,E86,F86)</f>
        <v>1.0406603611684315</v>
      </c>
      <c r="H86" cm="1">
        <f t="array" ref="H86">LBC(G86, A86, B86, C86, D86, E86, F86)</f>
        <v>7.5878005732686285E-2</v>
      </c>
    </row>
    <row r="87" spans="1:8" x14ac:dyDescent="0.35">
      <c r="A87">
        <f t="shared" si="7"/>
        <v>140</v>
      </c>
      <c r="B87">
        <f t="shared" si="8"/>
        <v>8600</v>
      </c>
      <c r="C87">
        <f t="shared" si="9"/>
        <v>0.6</v>
      </c>
      <c r="D87">
        <f t="shared" si="10"/>
        <v>0.15</v>
      </c>
      <c r="E87">
        <f t="shared" si="11"/>
        <v>0.5</v>
      </c>
      <c r="F87">
        <f t="shared" si="12"/>
        <v>0.02</v>
      </c>
      <c r="G87" cm="1">
        <f t="array" ref="G87">PengRobinsonZ(A87, B87, C87, D87,E87,F87)</f>
        <v>1.0500025698937407</v>
      </c>
      <c r="H87" cm="1">
        <f t="array" ref="H87">LBC(G87, A87, B87, C87, D87, E87, F87)</f>
        <v>7.6331678958328431E-2</v>
      </c>
    </row>
    <row r="88" spans="1:8" x14ac:dyDescent="0.35">
      <c r="A88">
        <f t="shared" si="7"/>
        <v>140</v>
      </c>
      <c r="B88">
        <f t="shared" si="8"/>
        <v>8700</v>
      </c>
      <c r="C88">
        <f t="shared" si="9"/>
        <v>0.6</v>
      </c>
      <c r="D88">
        <f t="shared" si="10"/>
        <v>0.15</v>
      </c>
      <c r="E88">
        <f t="shared" si="11"/>
        <v>0.5</v>
      </c>
      <c r="F88">
        <f t="shared" si="12"/>
        <v>0.02</v>
      </c>
      <c r="G88" cm="1">
        <f t="array" ref="G88">PengRobinsonZ(A88, B88, C88, D88,E88,F88)</f>
        <v>1.0593377292917281</v>
      </c>
      <c r="H88" cm="1">
        <f t="array" ref="H88">LBC(G88, A88, B88, C88, D88, E88, F88)</f>
        <v>7.6781723541396063E-2</v>
      </c>
    </row>
    <row r="89" spans="1:8" x14ac:dyDescent="0.35">
      <c r="A89">
        <f t="shared" si="7"/>
        <v>140</v>
      </c>
      <c r="B89">
        <f t="shared" si="8"/>
        <v>8800</v>
      </c>
      <c r="C89">
        <f t="shared" si="9"/>
        <v>0.6</v>
      </c>
      <c r="D89">
        <f t="shared" si="10"/>
        <v>0.15</v>
      </c>
      <c r="E89">
        <f t="shared" si="11"/>
        <v>0.5</v>
      </c>
      <c r="F89">
        <f t="shared" si="12"/>
        <v>0.02</v>
      </c>
      <c r="G89" cm="1">
        <f t="array" ref="G89">PengRobinsonZ(A89, B89, C89, D89,E89,F89)</f>
        <v>1.0686658099520505</v>
      </c>
      <c r="H89" cm="1">
        <f t="array" ref="H89">LBC(G89, A89, B89, C89, D89, E89, F89)</f>
        <v>7.7228223380396255E-2</v>
      </c>
    </row>
    <row r="90" spans="1:8" x14ac:dyDescent="0.35">
      <c r="A90">
        <f t="shared" si="7"/>
        <v>140</v>
      </c>
      <c r="B90">
        <f t="shared" si="8"/>
        <v>8900</v>
      </c>
      <c r="C90">
        <f t="shared" si="9"/>
        <v>0.6</v>
      </c>
      <c r="D90">
        <f t="shared" si="10"/>
        <v>0.15</v>
      </c>
      <c r="E90">
        <f t="shared" si="11"/>
        <v>0.5</v>
      </c>
      <c r="F90">
        <f t="shared" si="12"/>
        <v>0.02</v>
      </c>
      <c r="G90" cm="1">
        <f t="array" ref="G90">PengRobinsonZ(A90, B90, C90, D90,E90,F90)</f>
        <v>1.0779867898312701</v>
      </c>
      <c r="H90" cm="1">
        <f t="array" ref="H90">LBC(G90, A90, B90, C90, D90, E90, F90)</f>
        <v>7.7671259180768587E-2</v>
      </c>
    </row>
    <row r="91" spans="1:8" x14ac:dyDescent="0.35">
      <c r="A91">
        <f t="shared" si="7"/>
        <v>140</v>
      </c>
      <c r="B91">
        <f t="shared" si="8"/>
        <v>9000</v>
      </c>
      <c r="C91">
        <f t="shared" si="9"/>
        <v>0.6</v>
      </c>
      <c r="D91">
        <f t="shared" si="10"/>
        <v>0.15</v>
      </c>
      <c r="E91">
        <f t="shared" si="11"/>
        <v>0.5</v>
      </c>
      <c r="F91">
        <f t="shared" si="12"/>
        <v>0.02</v>
      </c>
      <c r="G91" cm="1">
        <f t="array" ref="G91">PengRobinsonZ(A91, B91, C91, D91,E91,F91)</f>
        <v>1.0873006535987799</v>
      </c>
      <c r="H91" cm="1">
        <f t="array" ref="H91">LBC(G91, A91, B91, C91, D91, E91, F91)</f>
        <v>7.8110908617787259E-2</v>
      </c>
    </row>
    <row r="92" spans="1:8" x14ac:dyDescent="0.35">
      <c r="A92">
        <f t="shared" si="7"/>
        <v>140</v>
      </c>
      <c r="B92">
        <f t="shared" si="8"/>
        <v>9100</v>
      </c>
      <c r="C92">
        <f t="shared" si="9"/>
        <v>0.6</v>
      </c>
      <c r="D92">
        <f t="shared" si="10"/>
        <v>0.15</v>
      </c>
      <c r="E92">
        <f t="shared" si="11"/>
        <v>0.5</v>
      </c>
      <c r="F92">
        <f t="shared" si="12"/>
        <v>0.02</v>
      </c>
      <c r="G92" cm="1">
        <f t="array" ref="G92">PengRobinsonZ(A92, B92, C92, D92,E92,F92)</f>
        <v>1.0966073920406934</v>
      </c>
      <c r="H92" cm="1">
        <f t="array" ref="H92">LBC(G92, A92, B92, C92, D92, E92, F92)</f>
        <v>7.8547246489170094E-2</v>
      </c>
    </row>
    <row r="93" spans="1:8" x14ac:dyDescent="0.35">
      <c r="A93">
        <f t="shared" si="7"/>
        <v>140</v>
      </c>
      <c r="B93">
        <f t="shared" si="8"/>
        <v>9200</v>
      </c>
      <c r="C93">
        <f t="shared" si="9"/>
        <v>0.6</v>
      </c>
      <c r="D93">
        <f t="shared" si="10"/>
        <v>0.15</v>
      </c>
      <c r="E93">
        <f t="shared" si="11"/>
        <v>0.5</v>
      </c>
      <c r="F93">
        <f t="shared" si="12"/>
        <v>0.02</v>
      </c>
      <c r="G93" cm="1">
        <f t="array" ref="G93">PengRobinsonZ(A93, B93, C93, D93,E93,F93)</f>
        <v>1.1059070015161259</v>
      </c>
      <c r="H93" cm="1">
        <f t="array" ref="H93">LBC(G93, A93, B93, C93, D93, E93, F93)</f>
        <v>7.8980344858163742E-2</v>
      </c>
    </row>
    <row r="94" spans="1:8" x14ac:dyDescent="0.35">
      <c r="A94">
        <f t="shared" si="7"/>
        <v>140</v>
      </c>
      <c r="B94">
        <f t="shared" si="8"/>
        <v>9300</v>
      </c>
      <c r="C94">
        <f t="shared" si="9"/>
        <v>0.6</v>
      </c>
      <c r="D94">
        <f t="shared" si="10"/>
        <v>0.15</v>
      </c>
      <c r="E94">
        <f t="shared" si="11"/>
        <v>0.5</v>
      </c>
      <c r="F94">
        <f t="shared" si="12"/>
        <v>0.02</v>
      </c>
      <c r="G94" cm="1">
        <f t="array" ref="G94">PengRobinsonZ(A94, B94, C94, D94,E94,F94)</f>
        <v>1.1151994834608723</v>
      </c>
      <c r="H94" cm="1">
        <f t="array" ref="H94">LBC(G94, A94, B94, C94, D94, E94, F94)</f>
        <v>7.9410273187810146E-2</v>
      </c>
    </row>
    <row r="95" spans="1:8" x14ac:dyDescent="0.35">
      <c r="A95">
        <f t="shared" si="7"/>
        <v>140</v>
      </c>
      <c r="B95">
        <f t="shared" si="8"/>
        <v>9400</v>
      </c>
      <c r="C95">
        <f t="shared" si="9"/>
        <v>0.6</v>
      </c>
      <c r="D95">
        <f t="shared" si="10"/>
        <v>0.15</v>
      </c>
      <c r="E95">
        <f t="shared" si="11"/>
        <v>0.5</v>
      </c>
      <c r="F95">
        <f t="shared" si="12"/>
        <v>0.02</v>
      </c>
      <c r="G95" cm="1">
        <f t="array" ref="G95">PengRobinsonZ(A95, B95, C95, D95,E95,F95)</f>
        <v>1.1244848439340076</v>
      </c>
      <c r="H95" cm="1">
        <f t="array" ref="H95">LBC(G95, A95, B95, C95, D95, E95, F95)</f>
        <v>7.9837098467039638E-2</v>
      </c>
    </row>
    <row r="96" spans="1:8" x14ac:dyDescent="0.35">
      <c r="A96">
        <f t="shared" si="7"/>
        <v>140</v>
      </c>
      <c r="B96">
        <f t="shared" si="8"/>
        <v>9500</v>
      </c>
      <c r="C96">
        <f t="shared" si="9"/>
        <v>0.6</v>
      </c>
      <c r="D96">
        <f t="shared" si="10"/>
        <v>0.15</v>
      </c>
      <c r="E96">
        <f t="shared" si="11"/>
        <v>0.5</v>
      </c>
      <c r="F96">
        <f t="shared" si="12"/>
        <v>0.02</v>
      </c>
      <c r="G96" cm="1">
        <f t="array" ref="G96">PengRobinsonZ(A96, B96, C96, D96,E96,F96)</f>
        <v>1.1337630932034108</v>
      </c>
      <c r="H96" cm="1">
        <f t="array" ref="H96">LBC(G96, A96, B96, C96, D96, E96, F96)</f>
        <v>8.0260885329179799E-2</v>
      </c>
    </row>
    <row r="97" spans="1:8" x14ac:dyDescent="0.35">
      <c r="A97">
        <f t="shared" si="7"/>
        <v>140</v>
      </c>
      <c r="B97">
        <f t="shared" si="8"/>
        <v>9600</v>
      </c>
      <c r="C97">
        <f t="shared" si="9"/>
        <v>0.6</v>
      </c>
      <c r="D97">
        <f t="shared" si="10"/>
        <v>0.15</v>
      </c>
      <c r="E97">
        <f t="shared" si="11"/>
        <v>0.5</v>
      </c>
      <c r="F97">
        <f t="shared" si="12"/>
        <v>0.02</v>
      </c>
      <c r="G97" cm="1">
        <f t="array" ref="G97">PengRobinsonZ(A97, B97, C97, D97,E97,F97)</f>
        <v>1.1430342453666067</v>
      </c>
      <c r="H97" cm="1">
        <f t="array" ref="H97">LBC(G97, A97, B97, C97, D97, E97, F97)</f>
        <v>8.06816961634228E-2</v>
      </c>
    </row>
    <row r="98" spans="1:8" x14ac:dyDescent="0.35">
      <c r="A98">
        <f t="shared" si="7"/>
        <v>140</v>
      </c>
      <c r="B98">
        <f t="shared" si="8"/>
        <v>9700</v>
      </c>
      <c r="C98">
        <f t="shared" si="9"/>
        <v>0.6</v>
      </c>
      <c r="D98">
        <f t="shared" si="10"/>
        <v>0.15</v>
      </c>
      <c r="E98">
        <f t="shared" si="11"/>
        <v>0.5</v>
      </c>
      <c r="F98">
        <f t="shared" si="12"/>
        <v>0.02</v>
      </c>
      <c r="G98" cm="1">
        <f t="array" ref="G98">PengRobinsonZ(A98, B98, C98, D98,E98,F98)</f>
        <v>1.1522983180037034</v>
      </c>
      <c r="H98" cm="1">
        <f t="array" ref="H98">LBC(G98, A98, B98, C98, D98, E98, F98)</f>
        <v>8.1099591219746234E-2</v>
      </c>
    </row>
    <row r="99" spans="1:8" x14ac:dyDescent="0.35">
      <c r="A99">
        <f t="shared" si="7"/>
        <v>140</v>
      </c>
      <c r="B99">
        <f t="shared" si="8"/>
        <v>9800</v>
      </c>
      <c r="C99">
        <f t="shared" si="9"/>
        <v>0.6</v>
      </c>
      <c r="D99">
        <f t="shared" si="10"/>
        <v>0.15</v>
      </c>
      <c r="E99">
        <f t="shared" si="11"/>
        <v>0.5</v>
      </c>
      <c r="F99">
        <f t="shared" si="12"/>
        <v>0.02</v>
      </c>
      <c r="G99" cm="1">
        <f t="array" ref="G99">PengRobinsonZ(A99, B99, C99, D99,E99,F99)</f>
        <v>1.161555331859508</v>
      </c>
      <c r="H99" cm="1">
        <f t="array" ref="H99">LBC(G99, A99, B99, C99, D99, E99, F99)</f>
        <v>8.1514628707745729E-2</v>
      </c>
    </row>
    <row r="100" spans="1:8" x14ac:dyDescent="0.35">
      <c r="A100">
        <f t="shared" si="7"/>
        <v>140</v>
      </c>
      <c r="B100">
        <f t="shared" si="8"/>
        <v>9900</v>
      </c>
      <c r="C100">
        <f t="shared" si="9"/>
        <v>0.6</v>
      </c>
      <c r="D100">
        <f t="shared" si="10"/>
        <v>0.15</v>
      </c>
      <c r="E100">
        <f t="shared" si="11"/>
        <v>0.5</v>
      </c>
      <c r="F100">
        <f t="shared" si="12"/>
        <v>0.02</v>
      </c>
      <c r="G100" cm="1">
        <f t="array" ref="G100">PengRobinsonZ(A100, B100, C100, D100,E100,F100)</f>
        <v>1.1708053105522085</v>
      </c>
      <c r="H100" cm="1">
        <f t="array" ref="H100">LBC(G100, A100, B100, C100, D100, E100, F100)</f>
        <v>8.1926864889797099E-2</v>
      </c>
    </row>
    <row r="101" spans="1:8" x14ac:dyDescent="0.35">
      <c r="A101">
        <f t="shared" si="7"/>
        <v>140</v>
      </c>
      <c r="B101">
        <f t="shared" si="8"/>
        <v>10000</v>
      </c>
      <c r="C101">
        <f t="shared" si="9"/>
        <v>0.6</v>
      </c>
      <c r="D101">
        <f t="shared" si="10"/>
        <v>0.15</v>
      </c>
      <c r="E101">
        <f t="shared" si="11"/>
        <v>0.5</v>
      </c>
      <c r="F101">
        <f t="shared" si="12"/>
        <v>0.02</v>
      </c>
      <c r="G101" cm="1">
        <f t="array" ref="G101">PengRobinsonZ(A101, B101, C101, D101,E101,F101)</f>
        <v>1.1800482803062451</v>
      </c>
      <c r="H101" cm="1">
        <f t="array" ref="H101">LBC(G101, A101, B101, C101, D101, E101, F101)</f>
        <v>8.2336354168937184E-2</v>
      </c>
    </row>
    <row r="102" spans="1:8" x14ac:dyDescent="0.35">
      <c r="A102">
        <f t="shared" si="7"/>
        <v>140</v>
      </c>
      <c r="B102">
        <f t="shared" si="8"/>
        <v>10100</v>
      </c>
      <c r="C102">
        <f t="shared" si="9"/>
        <v>0.6</v>
      </c>
      <c r="D102">
        <f t="shared" si="10"/>
        <v>0.15</v>
      </c>
      <c r="E102">
        <f t="shared" si="11"/>
        <v>0.5</v>
      </c>
      <c r="F102">
        <f t="shared" si="12"/>
        <v>0.02</v>
      </c>
      <c r="G102" cm="1">
        <f t="array" ref="G102">PengRobinsonZ(A102, B102, C102, D102,E102,F102)</f>
        <v>1.1892842697072599</v>
      </c>
      <c r="H102" cm="1">
        <f t="array" ref="H102">LBC(G102, A102, B102, C102, D102, E102, F102)</f>
        <v>8.2743149171815036E-2</v>
      </c>
    </row>
    <row r="103" spans="1:8" x14ac:dyDescent="0.35">
      <c r="A103">
        <f t="shared" si="7"/>
        <v>140</v>
      </c>
      <c r="B103">
        <f t="shared" si="8"/>
        <v>10200</v>
      </c>
      <c r="C103">
        <f t="shared" si="9"/>
        <v>0.6</v>
      </c>
      <c r="D103">
        <f t="shared" si="10"/>
        <v>0.15</v>
      </c>
      <c r="E103">
        <f t="shared" si="11"/>
        <v>0.5</v>
      </c>
      <c r="F103">
        <f t="shared" si="12"/>
        <v>0.02</v>
      </c>
      <c r="G103" cm="1">
        <f t="array" ref="G103">PengRobinsonZ(A103, B103, C103, D103,E103,F103)</f>
        <v>1.198513309477178</v>
      </c>
      <c r="H103" cm="1">
        <f t="array" ref="H103">LBC(G103, A103, B103, C103, D103, E103, F103)</f>
        <v>8.31473008270458E-2</v>
      </c>
    </row>
    <row r="104" spans="1:8" x14ac:dyDescent="0.35">
      <c r="A104">
        <f t="shared" si="7"/>
        <v>140</v>
      </c>
      <c r="B104">
        <f t="shared" si="8"/>
        <v>10300</v>
      </c>
      <c r="C104">
        <f t="shared" si="9"/>
        <v>0.6</v>
      </c>
      <c r="D104">
        <f t="shared" si="10"/>
        <v>0.15</v>
      </c>
      <c r="E104">
        <f t="shared" si="11"/>
        <v>0.5</v>
      </c>
      <c r="F104">
        <f t="shared" si="12"/>
        <v>0.02</v>
      </c>
      <c r="G104" cm="1">
        <f t="array" ref="G104">PengRobinsonZ(A104, B104, C104, D104,E104,F104)</f>
        <v>1.2077354322676792</v>
      </c>
      <c r="H104" cm="1">
        <f t="array" ref="H104">LBC(G104, A104, B104, C104, D104, E104, F104)</f>
        <v>8.3548858439268556E-2</v>
      </c>
    </row>
    <row r="105" spans="1:8" x14ac:dyDescent="0.35">
      <c r="A105">
        <f t="shared" si="7"/>
        <v>140</v>
      </c>
      <c r="B105">
        <f t="shared" si="8"/>
        <v>10400</v>
      </c>
      <c r="C105">
        <f t="shared" si="9"/>
        <v>0.6</v>
      </c>
      <c r="D105">
        <f t="shared" si="10"/>
        <v>0.15</v>
      </c>
      <c r="E105">
        <f t="shared" si="11"/>
        <v>0.5</v>
      </c>
      <c r="F105">
        <f t="shared" si="12"/>
        <v>0.02</v>
      </c>
      <c r="G105" cm="1">
        <f t="array" ref="G105">PengRobinsonZ(A105, B105, C105, D105,E105,F105)</f>
        <v>1.2169506724704815</v>
      </c>
      <c r="H105" cm="1">
        <f t="array" ref="H105">LBC(G105, A105, B105, C105, D105, E105, F105)</f>
        <v>8.3947869759188734E-2</v>
      </c>
    </row>
    <row r="106" spans="1:8" x14ac:dyDescent="0.35">
      <c r="A106">
        <f t="shared" si="7"/>
        <v>140</v>
      </c>
      <c r="B106">
        <f t="shared" si="8"/>
        <v>10500</v>
      </c>
      <c r="C106">
        <f t="shared" si="9"/>
        <v>0.6</v>
      </c>
      <c r="D106">
        <f t="shared" si="10"/>
        <v>0.15</v>
      </c>
      <c r="E106">
        <f t="shared" si="11"/>
        <v>0.5</v>
      </c>
      <c r="F106">
        <f t="shared" si="12"/>
        <v>0.02</v>
      </c>
      <c r="G106" cm="1">
        <f t="array" ref="G106">PengRobinsonZ(A106, B106, C106, D106,E106,F106)</f>
        <v>1.2261590660430073</v>
      </c>
      <c r="H106" cm="1">
        <f t="array" ref="H106">LBC(G106, A106, B106, C106, D106, E106, F106)</f>
        <v>8.4344381049863221E-2</v>
      </c>
    </row>
    <row r="107" spans="1:8" x14ac:dyDescent="0.35">
      <c r="A107">
        <f t="shared" si="7"/>
        <v>140</v>
      </c>
      <c r="B107">
        <f t="shared" si="8"/>
        <v>10600</v>
      </c>
      <c r="C107">
        <f t="shared" si="9"/>
        <v>0.6</v>
      </c>
      <c r="D107">
        <f t="shared" si="10"/>
        <v>0.15</v>
      </c>
      <c r="E107">
        <f t="shared" si="11"/>
        <v>0.5</v>
      </c>
      <c r="F107">
        <f t="shared" si="12"/>
        <v>0.02</v>
      </c>
      <c r="G107" cm="1">
        <f t="array" ref="G107">PengRobinsonZ(A107, B107, C107, D107,E107,F107)</f>
        <v>1.2353606503481367</v>
      </c>
      <c r="H107" cm="1">
        <f t="array" ref="H107">LBC(G107, A107, B107, C107, D107, E107, F107)</f>
        <v>8.4738437149466592E-2</v>
      </c>
    </row>
    <row r="108" spans="1:8" x14ac:dyDescent="0.35">
      <c r="A108">
        <f t="shared" si="7"/>
        <v>140</v>
      </c>
      <c r="B108">
        <f t="shared" si="8"/>
        <v>10700</v>
      </c>
      <c r="C108">
        <f t="shared" si="9"/>
        <v>0.6</v>
      </c>
      <c r="D108">
        <f t="shared" si="10"/>
        <v>0.15</v>
      </c>
      <c r="E108">
        <f t="shared" si="11"/>
        <v>0.5</v>
      </c>
      <c r="F108">
        <f t="shared" si="12"/>
        <v>0.02</v>
      </c>
      <c r="G108" cm="1">
        <f t="array" ref="G108">PengRobinsonZ(A108, B108, C108, D108,E108,F108)</f>
        <v>1.2445554640068404</v>
      </c>
      <c r="H108" cm="1">
        <f t="array" ref="H108">LBC(G108, A108, B108, C108, D108, E108, F108)</f>
        <v>8.5130081530765872E-2</v>
      </c>
    </row>
    <row r="109" spans="1:8" x14ac:dyDescent="0.35">
      <c r="A109">
        <f t="shared" si="7"/>
        <v>140</v>
      </c>
      <c r="B109">
        <f t="shared" si="8"/>
        <v>10800</v>
      </c>
      <c r="C109">
        <f t="shared" si="9"/>
        <v>0.6</v>
      </c>
      <c r="D109">
        <f t="shared" si="10"/>
        <v>0.15</v>
      </c>
      <c r="E109">
        <f t="shared" si="11"/>
        <v>0.5</v>
      </c>
      <c r="F109">
        <f t="shared" si="12"/>
        <v>0.02</v>
      </c>
      <c r="G109" cm="1">
        <f t="array" ref="G109">PengRobinsonZ(A109, B109, C109, D109,E109,F109)</f>
        <v>1.2537435467626499</v>
      </c>
      <c r="H109" cm="1">
        <f t="array" ref="H109">LBC(G109, A109, B109, C109, D109, E109, F109)</f>
        <v>8.551935635750324E-2</v>
      </c>
    </row>
    <row r="110" spans="1:8" x14ac:dyDescent="0.35">
      <c r="A110">
        <f t="shared" si="7"/>
        <v>140</v>
      </c>
      <c r="B110">
        <f t="shared" si="8"/>
        <v>10900</v>
      </c>
      <c r="C110">
        <f t="shared" si="9"/>
        <v>0.6</v>
      </c>
      <c r="D110">
        <f t="shared" si="10"/>
        <v>0.15</v>
      </c>
      <c r="E110">
        <f t="shared" si="11"/>
        <v>0.5</v>
      </c>
      <c r="F110">
        <f t="shared" si="12"/>
        <v>0.02</v>
      </c>
      <c r="G110" cm="1">
        <f t="array" ref="G110">PengRobinsonZ(A110, B110, C110, D110,E110,F110)</f>
        <v>1.2629249393569821</v>
      </c>
      <c r="H110" cm="1">
        <f t="array" ref="H110">LBC(G110, A110, B110, C110, D110, E110, F110)</f>
        <v>8.5906302537879828E-2</v>
      </c>
    </row>
    <row r="111" spans="1:8" x14ac:dyDescent="0.35">
      <c r="A111">
        <f t="shared" si="7"/>
        <v>140</v>
      </c>
      <c r="B111">
        <f t="shared" si="8"/>
        <v>11000</v>
      </c>
      <c r="C111">
        <f t="shared" si="9"/>
        <v>0.6</v>
      </c>
      <c r="D111">
        <f t="shared" si="10"/>
        <v>0.15</v>
      </c>
      <c r="E111">
        <f t="shared" si="11"/>
        <v>0.5</v>
      </c>
      <c r="F111">
        <f t="shared" si="12"/>
        <v>0.02</v>
      </c>
      <c r="G111" cm="1">
        <f t="array" ref="G111">PengRobinsonZ(A111, B111, C111, D111,E111,F111)</f>
        <v>1.2720996834143983</v>
      </c>
      <c r="H111" cm="1">
        <f t="array" ref="H111">LBC(G111, A111, B111, C111, D111, E111, F111)</f>
        <v>8.6290959775321432E-2</v>
      </c>
    </row>
    <row r="112" spans="1:8" x14ac:dyDescent="0.35">
      <c r="A112">
        <f t="shared" si="7"/>
        <v>140</v>
      </c>
      <c r="B112">
        <f t="shared" si="8"/>
        <v>11100</v>
      </c>
      <c r="C112">
        <f t="shared" si="9"/>
        <v>0.6</v>
      </c>
      <c r="D112">
        <f t="shared" si="10"/>
        <v>0.15</v>
      </c>
      <c r="E112">
        <f t="shared" si="11"/>
        <v>0.5</v>
      </c>
      <c r="F112">
        <f t="shared" si="12"/>
        <v>0.02</v>
      </c>
      <c r="G112" cm="1">
        <f t="array" ref="G112">PengRobinsonZ(A112, B112, C112, D112,E112,F112)</f>
        <v>1.2812678213370345</v>
      </c>
      <c r="H112" cm="1">
        <f t="array" ref="H112">LBC(G112, A112, B112, C112, D112, E112, F112)</f>
        <v>8.6673366616684774E-2</v>
      </c>
    </row>
    <row r="113" spans="1:8" x14ac:dyDescent="0.35">
      <c r="A113">
        <f t="shared" si="7"/>
        <v>140</v>
      </c>
      <c r="B113">
        <f t="shared" si="8"/>
        <v>11200</v>
      </c>
      <c r="C113">
        <f t="shared" si="9"/>
        <v>0.6</v>
      </c>
      <c r="D113">
        <f t="shared" si="10"/>
        <v>0.15</v>
      </c>
      <c r="E113">
        <f t="shared" si="11"/>
        <v>0.5</v>
      </c>
      <c r="F113">
        <f t="shared" si="12"/>
        <v>0.02</v>
      </c>
      <c r="G113" cm="1">
        <f t="array" ref="G113">PengRobinsonZ(A113, B113, C113, D113,E113,F113)</f>
        <v>1.2904293962074265</v>
      </c>
      <c r="H113" cm="1">
        <f t="array" ref="H113">LBC(G113, A113, B113, C113, D113, E113, F113)</f>
        <v>8.7053560498061941E-2</v>
      </c>
    </row>
    <row r="114" spans="1:8" x14ac:dyDescent="0.35">
      <c r="A114">
        <f t="shared" si="7"/>
        <v>140</v>
      </c>
      <c r="B114">
        <f t="shared" si="8"/>
        <v>11300</v>
      </c>
      <c r="C114">
        <f t="shared" si="9"/>
        <v>0.6</v>
      </c>
      <c r="D114">
        <f t="shared" si="10"/>
        <v>0.15</v>
      </c>
      <c r="E114">
        <f t="shared" si="11"/>
        <v>0.5</v>
      </c>
      <c r="F114">
        <f t="shared" si="12"/>
        <v>0.02</v>
      </c>
      <c r="G114" cm="1">
        <f t="array" ref="G114">PengRobinsonZ(A114, B114, C114, D114,E114,F114)</f>
        <v>1.2995844516990651</v>
      </c>
      <c r="H114" cm="1">
        <f t="array" ref="H114">LBC(G114, A114, B114, C114, D114, E114, F114)</f>
        <v>8.7431577788324846E-2</v>
      </c>
    </row>
    <row r="115" spans="1:8" x14ac:dyDescent="0.35">
      <c r="A115">
        <f t="shared" si="7"/>
        <v>140</v>
      </c>
      <c r="B115">
        <f t="shared" si="8"/>
        <v>11400</v>
      </c>
      <c r="C115">
        <f t="shared" si="9"/>
        <v>0.6</v>
      </c>
      <c r="D115">
        <f t="shared" si="10"/>
        <v>0.15</v>
      </c>
      <c r="E115">
        <f t="shared" si="11"/>
        <v>0.5</v>
      </c>
      <c r="F115">
        <f t="shared" si="12"/>
        <v>0.02</v>
      </c>
      <c r="G115" cm="1">
        <f t="array" ref="G115">PengRobinsonZ(A115, B115, C115, D115,E115,F115)</f>
        <v>1.3087330319940609</v>
      </c>
      <c r="H115" cm="1">
        <f t="array" ref="H115">LBC(G115, A115, B115, C115, D115, E115, F115)</f>
        <v>8.7807453830542406E-2</v>
      </c>
    </row>
    <row r="116" spans="1:8" x14ac:dyDescent="0.35">
      <c r="A116">
        <f t="shared" si="7"/>
        <v>140</v>
      </c>
      <c r="B116">
        <f t="shared" si="8"/>
        <v>11500</v>
      </c>
      <c r="C116">
        <f t="shared" si="9"/>
        <v>0.6</v>
      </c>
      <c r="D116">
        <f t="shared" si="10"/>
        <v>0.15</v>
      </c>
      <c r="E116">
        <f t="shared" si="11"/>
        <v>0.5</v>
      </c>
      <c r="F116">
        <f t="shared" si="12"/>
        <v>0.02</v>
      </c>
      <c r="G116" cm="1">
        <f t="array" ref="G116">PengRobinsonZ(A116, B116, C116, D116,E116,F116)</f>
        <v>1.3178751817073646</v>
      </c>
      <c r="H116" cm="1">
        <f t="array" ref="H116">LBC(G116, A116, B116, C116, D116, E116, F116)</f>
        <v>8.818122298139329E-2</v>
      </c>
    </row>
    <row r="117" spans="1:8" x14ac:dyDescent="0.35">
      <c r="A117">
        <f t="shared" si="7"/>
        <v>140</v>
      </c>
      <c r="B117">
        <f t="shared" si="8"/>
        <v>11600</v>
      </c>
      <c r="C117">
        <f t="shared" si="9"/>
        <v>0.6</v>
      </c>
      <c r="D117">
        <f t="shared" si="10"/>
        <v>0.15</v>
      </c>
      <c r="E117">
        <f t="shared" si="11"/>
        <v>0.5</v>
      </c>
      <c r="F117">
        <f t="shared" si="12"/>
        <v>0.02</v>
      </c>
      <c r="G117" cm="1">
        <f t="array" ref="G117">PengRobinsonZ(A117, B117, C117, D117,E117,F117)</f>
        <v>1.3270109458170309</v>
      </c>
      <c r="H117" cm="1">
        <f t="array" ref="H117">LBC(G117, A117, B117, C117, D117, E117, F117)</f>
        <v>8.8552918648688028E-2</v>
      </c>
    </row>
    <row r="118" spans="1:8" x14ac:dyDescent="0.35">
      <c r="A118">
        <f t="shared" si="7"/>
        <v>140</v>
      </c>
      <c r="B118">
        <f t="shared" si="8"/>
        <v>11700</v>
      </c>
      <c r="C118">
        <f t="shared" si="9"/>
        <v>0.6</v>
      </c>
      <c r="D118">
        <f t="shared" si="10"/>
        <v>0.15</v>
      </c>
      <c r="E118">
        <f t="shared" si="11"/>
        <v>0.5</v>
      </c>
      <c r="F118">
        <f t="shared" si="12"/>
        <v>0.02</v>
      </c>
      <c r="G118" cm="1">
        <f t="array" ref="G118">PengRobinsonZ(A118, B118, C118, D118,E118,F118)</f>
        <v>1.3361403696000056</v>
      </c>
      <c r="H118" cm="1">
        <f t="array" ref="H118">LBC(G118, A118, B118, C118, D118, E118, F118)</f>
        <v>8.8922573327116464E-2</v>
      </c>
    </row>
    <row r="119" spans="1:8" x14ac:dyDescent="0.35">
      <c r="A119">
        <f t="shared" si="7"/>
        <v>140</v>
      </c>
      <c r="B119">
        <f t="shared" si="8"/>
        <v>11800</v>
      </c>
      <c r="C119">
        <f t="shared" si="9"/>
        <v>0.6</v>
      </c>
      <c r="D119">
        <f t="shared" si="10"/>
        <v>0.15</v>
      </c>
      <c r="E119">
        <f t="shared" si="11"/>
        <v>0.5</v>
      </c>
      <c r="F119">
        <f t="shared" si="12"/>
        <v>0.02</v>
      </c>
      <c r="G119" cm="1">
        <f t="array" ref="G119">PengRobinsonZ(A119, B119, C119, D119,E119,F119)</f>
        <v>1.3452634985730709</v>
      </c>
      <c r="H119" cm="1">
        <f t="array" ref="H119">LBC(G119, A119, B119, C119, D119, E119, F119)</f>
        <v>8.9290218632310403E-2</v>
      </c>
    </row>
    <row r="120" spans="1:8" x14ac:dyDescent="0.35">
      <c r="A120">
        <f t="shared" si="7"/>
        <v>140</v>
      </c>
      <c r="B120">
        <f t="shared" si="8"/>
        <v>11900</v>
      </c>
      <c r="C120">
        <f t="shared" si="9"/>
        <v>0.6</v>
      </c>
      <c r="D120">
        <f t="shared" si="10"/>
        <v>0.15</v>
      </c>
      <c r="E120">
        <f t="shared" si="11"/>
        <v>0.5</v>
      </c>
      <c r="F120">
        <f t="shared" si="12"/>
        <v>0.02</v>
      </c>
      <c r="G120" cm="1">
        <f t="array" ref="G120">PengRobinsonZ(A120, B120, C120, D120,E120,F120)</f>
        <v>1.3543803784384987</v>
      </c>
      <c r="H120" cm="1">
        <f t="array" ref="H120">LBC(G120, A120, B120, C120, D120, E120, F120)</f>
        <v>8.9655885333323262E-2</v>
      </c>
    </row>
    <row r="121" spans="1:8" x14ac:dyDescent="0.35">
      <c r="A121">
        <f t="shared" si="7"/>
        <v>140</v>
      </c>
      <c r="B121">
        <f t="shared" si="8"/>
        <v>12000</v>
      </c>
      <c r="C121">
        <f t="shared" si="9"/>
        <v>0.6</v>
      </c>
      <c r="D121">
        <f t="shared" si="10"/>
        <v>0.15</v>
      </c>
      <c r="E121">
        <f t="shared" si="11"/>
        <v>0.5</v>
      </c>
      <c r="F121">
        <f t="shared" si="12"/>
        <v>0.02</v>
      </c>
      <c r="G121" cm="1">
        <f t="array" ref="G121">PengRobinsonZ(A121, B121, C121, D121,E121,F121)</f>
        <v>1.3634910550340864</v>
      </c>
      <c r="H121" cm="1">
        <f t="array" ref="H121">LBC(G121, A121, B121, C121, D121, E121, F121)</f>
        <v>9.0019603383608662E-2</v>
      </c>
    </row>
    <row r="122" spans="1:8" x14ac:dyDescent="0.35">
      <c r="A122">
        <f t="shared" si="7"/>
        <v>140</v>
      </c>
      <c r="B122">
        <f t="shared" si="8"/>
        <v>12100</v>
      </c>
      <c r="C122">
        <f t="shared" si="9"/>
        <v>0.6</v>
      </c>
      <c r="D122">
        <f t="shared" si="10"/>
        <v>0.15</v>
      </c>
      <c r="E122">
        <f t="shared" si="11"/>
        <v>0.5</v>
      </c>
      <c r="F122">
        <f t="shared" si="12"/>
        <v>0.02</v>
      </c>
      <c r="G122" cm="1">
        <f t="array" ref="G122">PengRobinsonZ(A122, B122, C122, D122,E122,F122)</f>
        <v>1.3725955742871943</v>
      </c>
      <c r="H122" cm="1">
        <f t="array" ref="H122">LBC(G122, A122, B122, C122, D122, E122, F122)</f>
        <v>9.0381401950587942E-2</v>
      </c>
    </row>
    <row r="123" spans="1:8" x14ac:dyDescent="0.35">
      <c r="A123">
        <f t="shared" si="7"/>
        <v>140</v>
      </c>
      <c r="B123">
        <f t="shared" si="8"/>
        <v>12200</v>
      </c>
      <c r="C123">
        <f t="shared" si="9"/>
        <v>0.6</v>
      </c>
      <c r="D123">
        <f t="shared" si="10"/>
        <v>0.15</v>
      </c>
      <c r="E123">
        <f t="shared" si="11"/>
        <v>0.5</v>
      </c>
      <c r="F123">
        <f t="shared" si="12"/>
        <v>0.02</v>
      </c>
      <c r="G123" cm="1">
        <f t="array" ref="G123">PengRobinsonZ(A123, B123, C123, D123,E123,F123)</f>
        <v>1.3816939821725087</v>
      </c>
      <c r="H123" cm="1">
        <f t="array" ref="H123">LBC(G123, A123, B123, C123, D123, E123, F123)</f>
        <v>9.0741309443878398E-2</v>
      </c>
    </row>
    <row r="124" spans="1:8" x14ac:dyDescent="0.35">
      <c r="A124">
        <f t="shared" si="7"/>
        <v>140</v>
      </c>
      <c r="B124">
        <f t="shared" si="8"/>
        <v>12300</v>
      </c>
      <c r="C124">
        <f t="shared" si="9"/>
        <v>0.6</v>
      </c>
      <c r="D124">
        <f t="shared" si="10"/>
        <v>0.15</v>
      </c>
      <c r="E124">
        <f t="shared" si="11"/>
        <v>0.5</v>
      </c>
      <c r="F124">
        <f t="shared" si="12"/>
        <v>0.02</v>
      </c>
      <c r="G124" cm="1">
        <f t="array" ref="G124">PengRobinsonZ(A124, B124, C124, D124,E124,F124)</f>
        <v>1.3907863246732657</v>
      </c>
      <c r="H124" cm="1">
        <f t="array" ref="H124">LBC(G124, A124, B124, C124, D124, E124, F124)</f>
        <v>9.1099353542251196E-2</v>
      </c>
    </row>
    <row r="125" spans="1:8" x14ac:dyDescent="0.35">
      <c r="A125">
        <f t="shared" si="7"/>
        <v>140</v>
      </c>
      <c r="B125">
        <f t="shared" si="8"/>
        <v>12400</v>
      </c>
      <c r="C125">
        <f t="shared" si="9"/>
        <v>0.6</v>
      </c>
      <c r="D125">
        <f t="shared" si="10"/>
        <v>0.15</v>
      </c>
      <c r="E125">
        <f t="shared" si="11"/>
        <v>0.5</v>
      </c>
      <c r="F125">
        <f t="shared" si="12"/>
        <v>0.02</v>
      </c>
      <c r="G125" cm="1">
        <f t="array" ref="G125">PengRobinsonZ(A125, B125, C125, D125,E125,F125)</f>
        <v>1.3998726477456251</v>
      </c>
      <c r="H125" cm="1">
        <f t="array" ref="H125">LBC(G125, A125, B125, C125, D125, E125, F125)</f>
        <v>9.1455561219395187E-2</v>
      </c>
    </row>
    <row r="126" spans="1:8" x14ac:dyDescent="0.35">
      <c r="A126">
        <f t="shared" si="7"/>
        <v>140</v>
      </c>
      <c r="B126">
        <f t="shared" si="8"/>
        <v>12500</v>
      </c>
      <c r="C126">
        <f t="shared" si="9"/>
        <v>0.6</v>
      </c>
      <c r="D126">
        <f t="shared" si="10"/>
        <v>0.15</v>
      </c>
      <c r="E126">
        <f t="shared" si="11"/>
        <v>0.5</v>
      </c>
      <c r="F126">
        <f t="shared" si="12"/>
        <v>0.02</v>
      </c>
      <c r="G126" cm="1">
        <f t="array" ref="G126">PengRobinsonZ(A126, B126, C126, D126,E126,F126)</f>
        <v>1.4089529972859629</v>
      </c>
      <c r="H126" cm="1">
        <f t="array" ref="H126">LBC(G126, A126, B126, C126, D126, E126, F126)</f>
        <v>9.1809958768548861E-2</v>
      </c>
    </row>
    <row r="127" spans="1:8" x14ac:dyDescent="0.35">
      <c r="A127">
        <f t="shared" si="7"/>
        <v>140</v>
      </c>
      <c r="B127">
        <f t="shared" si="8"/>
        <v>12600</v>
      </c>
      <c r="C127">
        <f t="shared" si="9"/>
        <v>0.6</v>
      </c>
      <c r="D127">
        <f t="shared" si="10"/>
        <v>0.15</v>
      </c>
      <c r="E127">
        <f t="shared" si="11"/>
        <v>0.5</v>
      </c>
      <c r="F127">
        <f t="shared" si="12"/>
        <v>0.02</v>
      </c>
      <c r="G127" cm="1">
        <f t="array" ref="G127">PengRobinsonZ(A127, B127, C127, D127,E127,F127)</f>
        <v>1.418027419100949</v>
      </c>
      <c r="H127" cm="1">
        <f t="array" ref="H127">LBC(G127, A127, B127, C127, D127, E127, F127)</f>
        <v>9.2162571826045495E-2</v>
      </c>
    </row>
    <row r="128" spans="1:8" x14ac:dyDescent="0.35">
      <c r="A128">
        <f t="shared" si="7"/>
        <v>140</v>
      </c>
      <c r="B128">
        <f t="shared" si="8"/>
        <v>12700</v>
      </c>
      <c r="C128">
        <f t="shared" si="9"/>
        <v>0.6</v>
      </c>
      <c r="D128">
        <f t="shared" si="10"/>
        <v>0.15</v>
      </c>
      <c r="E128">
        <f t="shared" si="11"/>
        <v>0.5</v>
      </c>
      <c r="F128">
        <f t="shared" si="12"/>
        <v>0.02</v>
      </c>
      <c r="G128" cm="1">
        <f t="array" ref="G128">PengRobinsonZ(A128, B128, C128, D128,E128,F128)</f>
        <v>1.4270959588800338</v>
      </c>
      <c r="H128" cm="1">
        <f t="array" ref="H128">LBC(G128, A128, B128, C128, D128, E128, F128)</f>
        <v>9.2513425393855778E-2</v>
      </c>
    </row>
    <row r="129" spans="1:8" x14ac:dyDescent="0.35">
      <c r="A129">
        <f t="shared" si="7"/>
        <v>140</v>
      </c>
      <c r="B129">
        <f t="shared" si="8"/>
        <v>12800</v>
      </c>
      <c r="C129">
        <f t="shared" si="9"/>
        <v>0.6</v>
      </c>
      <c r="D129">
        <f t="shared" si="10"/>
        <v>0.15</v>
      </c>
      <c r="E129">
        <f t="shared" si="11"/>
        <v>0.5</v>
      </c>
      <c r="F129">
        <f t="shared" si="12"/>
        <v>0.02</v>
      </c>
      <c r="G129" cm="1">
        <f t="array" ref="G129">PengRobinsonZ(A129, B129, C129, D129,E129,F129)</f>
        <v>1.4361586621703675</v>
      </c>
      <c r="H129" cm="1">
        <f t="array" ref="H129">LBC(G129, A129, B129, C129, D129, E129, F129)</f>
        <v>9.286254386114666E-2</v>
      </c>
    </row>
    <row r="130" spans="1:8" x14ac:dyDescent="0.35">
      <c r="A130">
        <f t="shared" si="7"/>
        <v>140</v>
      </c>
      <c r="B130">
        <f t="shared" si="8"/>
        <v>12900</v>
      </c>
      <c r="C130">
        <f t="shared" si="9"/>
        <v>0.6</v>
      </c>
      <c r="D130">
        <f t="shared" si="10"/>
        <v>0.15</v>
      </c>
      <c r="E130">
        <f t="shared" si="11"/>
        <v>0.5</v>
      </c>
      <c r="F130">
        <f t="shared" si="12"/>
        <v>0.02</v>
      </c>
      <c r="G130" cm="1">
        <f t="array" ref="G130">PengRobinsonZ(A130, B130, C130, D130,E130,F130)</f>
        <v>1.445215574353792</v>
      </c>
      <c r="H130" cm="1">
        <f t="array" ref="H130">LBC(G130, A130, B130, C130, D130, E130, F130)</f>
        <v>9.3209951024935025E-2</v>
      </c>
    </row>
    <row r="131" spans="1:8" x14ac:dyDescent="0.35">
      <c r="A131">
        <f t="shared" si="7"/>
        <v>140</v>
      </c>
      <c r="B131">
        <f t="shared" si="8"/>
        <v>13000</v>
      </c>
      <c r="C131">
        <f t="shared" si="9"/>
        <v>0.6</v>
      </c>
      <c r="D131">
        <f t="shared" si="10"/>
        <v>0.15</v>
      </c>
      <c r="E131">
        <f t="shared" si="11"/>
        <v>0.5</v>
      </c>
      <c r="F131">
        <f t="shared" si="12"/>
        <v>0.02</v>
      </c>
      <c r="G131" cm="1">
        <f t="array" ref="G131">PengRobinsonZ(A131, B131, C131, D131,E131,F131)</f>
        <v>1.4542667406258341</v>
      </c>
      <c r="H131" cm="1">
        <f t="array" ref="H131">LBC(G131, A131, B131, C131, D131, E131, F131)</f>
        <v>9.3555670109869982E-2</v>
      </c>
    </row>
    <row r="132" spans="1:8" x14ac:dyDescent="0.35">
      <c r="A132">
        <f t="shared" ref="A132:A151" si="13">A131</f>
        <v>140</v>
      </c>
      <c r="B132">
        <f t="shared" ref="B132:B151" si="14">B131+100</f>
        <v>13100</v>
      </c>
      <c r="C132">
        <f t="shared" ref="C132:C151" si="15">C131</f>
        <v>0.6</v>
      </c>
      <c r="D132">
        <f t="shared" ref="D132:D151" si="16">D131</f>
        <v>0.15</v>
      </c>
      <c r="E132">
        <f t="shared" ref="E132:E151" si="17">E131</f>
        <v>0.5</v>
      </c>
      <c r="F132">
        <f t="shared" ref="F132:F151" si="18">F131</f>
        <v>0.02</v>
      </c>
      <c r="G132" cm="1">
        <f t="array" ref="G132">PengRobinsonZ(A132, B132, C132, D132,E132,F132)</f>
        <v>1.463312205976586</v>
      </c>
      <c r="H132" cm="1">
        <f t="array" ref="H132">LBC(G132, A132, B132, C132, D132, E132, F132)</f>
        <v>9.389972378718088E-2</v>
      </c>
    </row>
    <row r="133" spans="1:8" x14ac:dyDescent="0.35">
      <c r="A133">
        <f t="shared" si="13"/>
        <v>140</v>
      </c>
      <c r="B133">
        <f t="shared" si="14"/>
        <v>13200</v>
      </c>
      <c r="C133">
        <f t="shared" si="15"/>
        <v>0.6</v>
      </c>
      <c r="D133">
        <f t="shared" si="16"/>
        <v>0.15</v>
      </c>
      <c r="E133">
        <f t="shared" si="17"/>
        <v>0.5</v>
      </c>
      <c r="F133">
        <f t="shared" si="18"/>
        <v>0.02</v>
      </c>
      <c r="G133" cm="1">
        <f t="array" ref="G133">PengRobinsonZ(A133, B133, C133, D133,E133,F133)</f>
        <v>1.4723520151732599</v>
      </c>
      <c r="H133" cm="1">
        <f t="array" ref="H133">LBC(G133, A133, B133, C133, D133, E133, F133)</f>
        <v>9.4242134192845106E-2</v>
      </c>
    </row>
    <row r="134" spans="1:8" x14ac:dyDescent="0.35">
      <c r="A134">
        <f t="shared" si="13"/>
        <v>140</v>
      </c>
      <c r="B134">
        <f t="shared" si="14"/>
        <v>13300</v>
      </c>
      <c r="C134">
        <f t="shared" si="15"/>
        <v>0.6</v>
      </c>
      <c r="D134">
        <f t="shared" si="16"/>
        <v>0.15</v>
      </c>
      <c r="E134">
        <f t="shared" si="17"/>
        <v>0.5</v>
      </c>
      <c r="F134">
        <f t="shared" si="18"/>
        <v>0.02</v>
      </c>
      <c r="G134" cm="1">
        <f t="array" ref="G134">PengRobinsonZ(A134, B134, C134, D134,E134,F134)</f>
        <v>1.4813862127443076</v>
      </c>
      <c r="H134" cm="1">
        <f t="array" ref="H134">LBC(G134, A134, B134, C134, D134, E134, F134)</f>
        <v>9.4582922945012499E-2</v>
      </c>
    </row>
    <row r="135" spans="1:8" x14ac:dyDescent="0.35">
      <c r="A135">
        <f t="shared" si="13"/>
        <v>140</v>
      </c>
      <c r="B135">
        <f t="shared" si="14"/>
        <v>13400</v>
      </c>
      <c r="C135">
        <f t="shared" si="15"/>
        <v>0.6</v>
      </c>
      <c r="D135">
        <f t="shared" si="16"/>
        <v>0.15</v>
      </c>
      <c r="E135">
        <f t="shared" si="17"/>
        <v>0.5</v>
      </c>
      <c r="F135">
        <f t="shared" si="18"/>
        <v>0.02</v>
      </c>
      <c r="G135" cm="1">
        <f t="array" ref="G135">PengRobinsonZ(A135, B135, C135, D135,E135,F135)</f>
        <v>1.4904148429650581</v>
      </c>
      <c r="H135" cm="1">
        <f t="array" ref="H135">LBC(G135, A135, B135, C135, D135, E135, F135)</f>
        <v>9.4922111160710504E-2</v>
      </c>
    </row>
    <row r="136" spans="1:8" x14ac:dyDescent="0.35">
      <c r="A136">
        <f t="shared" si="13"/>
        <v>140</v>
      </c>
      <c r="B136">
        <f t="shared" si="14"/>
        <v>13500</v>
      </c>
      <c r="C136">
        <f t="shared" si="15"/>
        <v>0.6</v>
      </c>
      <c r="D136">
        <f t="shared" si="16"/>
        <v>0.15</v>
      </c>
      <c r="E136">
        <f t="shared" si="17"/>
        <v>0.5</v>
      </c>
      <c r="F136">
        <f t="shared" si="18"/>
        <v>0.02</v>
      </c>
      <c r="G136" cm="1">
        <f t="array" ref="G136">PengRobinsonZ(A136, B136, C136, D136,E136,F136)</f>
        <v>1.4994379498446451</v>
      </c>
      <c r="H136" cm="1">
        <f t="array" ref="H136">LBC(G136, A136, B136, C136, D136, E136, F136)</f>
        <v>9.5259719471885218E-2</v>
      </c>
    </row>
    <row r="137" spans="1:8" x14ac:dyDescent="0.35">
      <c r="A137">
        <f t="shared" si="13"/>
        <v>140</v>
      </c>
      <c r="B137">
        <f t="shared" si="14"/>
        <v>13600</v>
      </c>
      <c r="C137">
        <f t="shared" si="15"/>
        <v>0.6</v>
      </c>
      <c r="D137">
        <f t="shared" si="16"/>
        <v>0.15</v>
      </c>
      <c r="E137">
        <f t="shared" si="17"/>
        <v>0.5</v>
      </c>
      <c r="F137">
        <f t="shared" si="18"/>
        <v>0.02</v>
      </c>
      <c r="G137" cm="1">
        <f t="array" ref="G137">PengRobinsonZ(A137, B137, C137, D137,E137,F137)</f>
        <v>1.50845557711426</v>
      </c>
      <c r="H137" cm="1">
        <f t="array" ref="H137">LBC(G137, A137, B137, C137, D137, E137, F137)</f>
        <v>9.559576804078844E-2</v>
      </c>
    </row>
    <row r="138" spans="1:8" x14ac:dyDescent="0.35">
      <c r="A138">
        <f t="shared" si="13"/>
        <v>140</v>
      </c>
      <c r="B138">
        <f t="shared" si="14"/>
        <v>13700</v>
      </c>
      <c r="C138">
        <f t="shared" si="15"/>
        <v>0.6</v>
      </c>
      <c r="D138">
        <f t="shared" si="16"/>
        <v>0.15</v>
      </c>
      <c r="E138">
        <f t="shared" si="17"/>
        <v>0.5</v>
      </c>
      <c r="F138">
        <f t="shared" si="18"/>
        <v>0.02</v>
      </c>
      <c r="G138" cm="1">
        <f t="array" ref="G138">PengRobinsonZ(A138, B138, C138, D138,E138,F138)</f>
        <v>1.517467768216527</v>
      </c>
      <c r="H138" cm="1">
        <f t="array" ref="H138">LBC(G138, A138, B138, C138, D138, E138, F138)</f>
        <v>9.5930276574759818E-2</v>
      </c>
    </row>
    <row r="139" spans="1:8" x14ac:dyDescent="0.35">
      <c r="A139">
        <f t="shared" si="13"/>
        <v>140</v>
      </c>
      <c r="B139">
        <f t="shared" si="14"/>
        <v>13800</v>
      </c>
      <c r="C139">
        <f t="shared" si="15"/>
        <v>0.6</v>
      </c>
      <c r="D139">
        <f t="shared" si="16"/>
        <v>0.15</v>
      </c>
      <c r="E139">
        <f t="shared" si="17"/>
        <v>0.5</v>
      </c>
      <c r="F139">
        <f t="shared" si="18"/>
        <v>0.02</v>
      </c>
      <c r="G139" cm="1">
        <f t="array" ref="G139">PengRobinsonZ(A139, B139, C139, D139,E139,F139)</f>
        <v>1.5264745662959338</v>
      </c>
      <c r="H139" cm="1">
        <f t="array" ref="H139">LBC(G139, A139, B139, C139, D139, E139, F139)</f>
        <v>9.6263264340429769E-2</v>
      </c>
    </row>
    <row r="140" spans="1:8" x14ac:dyDescent="0.35">
      <c r="A140">
        <f t="shared" si="13"/>
        <v>140</v>
      </c>
      <c r="B140">
        <f t="shared" si="14"/>
        <v>13900</v>
      </c>
      <c r="C140">
        <f t="shared" si="15"/>
        <v>0.6</v>
      </c>
      <c r="D140">
        <f t="shared" si="16"/>
        <v>0.15</v>
      </c>
      <c r="E140">
        <f t="shared" si="17"/>
        <v>0.5</v>
      </c>
      <c r="F140">
        <f t="shared" si="18"/>
        <v>0.02</v>
      </c>
      <c r="G140" cm="1">
        <f t="array" ref="G140">PengRobinsonZ(A140, B140, C140, D140,E140,F140)</f>
        <v>1.5354760141903863</v>
      </c>
      <c r="H140" cm="1">
        <f t="array" ref="H140">LBC(G140, A140, B140, C140, D140, E140, F140)</f>
        <v>9.6594750177346658E-2</v>
      </c>
    </row>
    <row r="141" spans="1:8" x14ac:dyDescent="0.35">
      <c r="A141">
        <f t="shared" si="13"/>
        <v>140</v>
      </c>
      <c r="B141">
        <f t="shared" si="14"/>
        <v>14000</v>
      </c>
      <c r="C141">
        <f t="shared" si="15"/>
        <v>0.6</v>
      </c>
      <c r="D141">
        <f t="shared" si="16"/>
        <v>0.15</v>
      </c>
      <c r="E141">
        <f t="shared" si="17"/>
        <v>0.5</v>
      </c>
      <c r="F141">
        <f t="shared" si="18"/>
        <v>0.02</v>
      </c>
      <c r="G141" cm="1">
        <f t="array" ref="G141">PengRobinsonZ(A141, B141, C141, D141,E141,F141)</f>
        <v>1.5444721544234918</v>
      </c>
      <c r="H141" cm="1">
        <f t="array" ref="H141">LBC(G141, A141, B141, C141, D141, E141, F141)</f>
        <v>9.6924752511107271E-2</v>
      </c>
    </row>
    <row r="142" spans="1:8" x14ac:dyDescent="0.35">
      <c r="A142">
        <f t="shared" si="13"/>
        <v>140</v>
      </c>
      <c r="B142">
        <f t="shared" si="14"/>
        <v>14100</v>
      </c>
      <c r="C142">
        <f t="shared" si="15"/>
        <v>0.6</v>
      </c>
      <c r="D142">
        <f t="shared" si="16"/>
        <v>0.15</v>
      </c>
      <c r="E142">
        <f t="shared" si="17"/>
        <v>0.5</v>
      </c>
      <c r="F142">
        <f t="shared" si="18"/>
        <v>0.02</v>
      </c>
      <c r="G142" cm="1">
        <f t="array" ref="G142">PengRobinsonZ(A142, B142, C142, D142,E142,F142)</f>
        <v>1.5534630291979075</v>
      </c>
      <c r="H142" cm="1">
        <f t="array" ref="H142">LBC(G142, A142, B142, C142, D142, E142, F142)</f>
        <v>9.7253289365948084E-2</v>
      </c>
    </row>
    <row r="143" spans="1:8" x14ac:dyDescent="0.35">
      <c r="A143">
        <f t="shared" si="13"/>
        <v>140</v>
      </c>
      <c r="B143">
        <f t="shared" si="14"/>
        <v>14200</v>
      </c>
      <c r="C143">
        <f t="shared" si="15"/>
        <v>0.6</v>
      </c>
      <c r="D143">
        <f t="shared" si="16"/>
        <v>0.15</v>
      </c>
      <c r="E143">
        <f t="shared" si="17"/>
        <v>0.5</v>
      </c>
      <c r="F143">
        <f t="shared" si="18"/>
        <v>0.02</v>
      </c>
      <c r="G143" cm="1">
        <f t="array" ref="G143">PengRobinsonZ(A143, B143, C143, D143,E143,F143)</f>
        <v>1.562448680389235</v>
      </c>
      <c r="H143" cm="1">
        <f t="array" ref="H143">LBC(G143, A143, B143, C143, D143, E143, F143)</f>
        <v>9.7580378376896024E-2</v>
      </c>
    </row>
    <row r="144" spans="1:8" x14ac:dyDescent="0.35">
      <c r="A144">
        <f t="shared" si="13"/>
        <v>140</v>
      </c>
      <c r="B144">
        <f t="shared" si="14"/>
        <v>14300</v>
      </c>
      <c r="C144">
        <f t="shared" si="15"/>
        <v>0.6</v>
      </c>
      <c r="D144">
        <f t="shared" si="16"/>
        <v>0.15</v>
      </c>
      <c r="E144">
        <f t="shared" si="17"/>
        <v>0.5</v>
      </c>
      <c r="F144">
        <f t="shared" si="18"/>
        <v>0.02</v>
      </c>
      <c r="G144" cm="1">
        <f t="array" ref="G144">PengRobinsonZ(A144, B144, C144, D144,E144,F144)</f>
        <v>1.5714291495410326</v>
      </c>
      <c r="H144" cm="1">
        <f t="array" ref="H144">LBC(G144, A144, B144, C144, D144, E144, F144)</f>
        <v>9.7906036801397284E-2</v>
      </c>
    </row>
    <row r="145" spans="1:8" x14ac:dyDescent="0.35">
      <c r="A145">
        <f t="shared" si="13"/>
        <v>140</v>
      </c>
      <c r="B145">
        <f t="shared" si="14"/>
        <v>14400</v>
      </c>
      <c r="C145">
        <f t="shared" si="15"/>
        <v>0.6</v>
      </c>
      <c r="D145">
        <f t="shared" si="16"/>
        <v>0.15</v>
      </c>
      <c r="E145">
        <f t="shared" si="17"/>
        <v>0.5</v>
      </c>
      <c r="F145">
        <f t="shared" si="18"/>
        <v>0.02</v>
      </c>
      <c r="G145" cm="1">
        <f t="array" ref="G145">PengRobinsonZ(A145, B145, C145, D145,E145,F145)</f>
        <v>1.5804044778601629</v>
      </c>
      <c r="H145" cm="1">
        <f t="array" ref="H145">LBC(G145, A145, B145, C145, D145, E145, F145)</f>
        <v>9.8230281530563707E-2</v>
      </c>
    </row>
    <row r="146" spans="1:8" x14ac:dyDescent="0.35">
      <c r="A146">
        <f t="shared" si="13"/>
        <v>140</v>
      </c>
      <c r="B146">
        <f t="shared" si="14"/>
        <v>14500</v>
      </c>
      <c r="C146">
        <f t="shared" si="15"/>
        <v>0.6</v>
      </c>
      <c r="D146">
        <f t="shared" si="16"/>
        <v>0.15</v>
      </c>
      <c r="E146">
        <f t="shared" si="17"/>
        <v>0.5</v>
      </c>
      <c r="F146">
        <f t="shared" si="18"/>
        <v>0.02</v>
      </c>
      <c r="G146" cm="1">
        <f t="array" ref="G146">PengRobinsonZ(A146, B146, C146, D146,E146,F146)</f>
        <v>1.5893747062128329</v>
      </c>
      <c r="H146" cm="1">
        <f t="array" ref="H146">LBC(G146, A146, B146, C146, D146, E146, F146)</f>
        <v>9.8553129099990436E-2</v>
      </c>
    </row>
    <row r="147" spans="1:8" x14ac:dyDescent="0.35">
      <c r="A147">
        <f t="shared" si="13"/>
        <v>140</v>
      </c>
      <c r="B147">
        <f t="shared" si="14"/>
        <v>14600</v>
      </c>
      <c r="C147">
        <f t="shared" si="15"/>
        <v>0.6</v>
      </c>
      <c r="D147">
        <f t="shared" si="16"/>
        <v>0.15</v>
      </c>
      <c r="E147">
        <f t="shared" si="17"/>
        <v>0.5</v>
      </c>
      <c r="F147">
        <f t="shared" si="18"/>
        <v>0.02</v>
      </c>
      <c r="G147" cm="1">
        <f t="array" ref="G147">PengRobinsonZ(A147, B147, C147, D147,E147,F147)</f>
        <v>1.5983398751215776</v>
      </c>
      <c r="H147" cm="1">
        <f t="array" ref="H147">LBC(G147, A147, B147, C147, D147, E147, F147)</f>
        <v>9.8874595700114823E-2</v>
      </c>
    </row>
    <row r="148" spans="1:8" x14ac:dyDescent="0.35">
      <c r="A148">
        <f t="shared" si="13"/>
        <v>140</v>
      </c>
      <c r="B148">
        <f t="shared" si="14"/>
        <v>14700</v>
      </c>
      <c r="C148">
        <f t="shared" si="15"/>
        <v>0.6</v>
      </c>
      <c r="D148">
        <f t="shared" si="16"/>
        <v>0.15</v>
      </c>
      <c r="E148">
        <f t="shared" si="17"/>
        <v>0.5</v>
      </c>
      <c r="F148">
        <f t="shared" si="18"/>
        <v>0.02</v>
      </c>
      <c r="G148" cm="1">
        <f t="array" ref="G148">PengRobinsonZ(A148, B148, C148, D148,E148,F148)</f>
        <v>1.6073000247613756</v>
      </c>
      <c r="H148" cm="1">
        <f t="array" ref="H148">LBC(G148, A148, B148, C148, D148, E148, F148)</f>
        <v>9.9194697186421335E-2</v>
      </c>
    </row>
    <row r="149" spans="1:8" x14ac:dyDescent="0.35">
      <c r="A149">
        <f t="shared" si="13"/>
        <v>140</v>
      </c>
      <c r="B149">
        <f t="shared" si="14"/>
        <v>14800</v>
      </c>
      <c r="C149">
        <f t="shared" si="15"/>
        <v>0.6</v>
      </c>
      <c r="D149">
        <f t="shared" si="16"/>
        <v>0.15</v>
      </c>
      <c r="E149">
        <f t="shared" si="17"/>
        <v>0.5</v>
      </c>
      <c r="F149">
        <f t="shared" si="18"/>
        <v>0.02</v>
      </c>
      <c r="G149" cm="1">
        <f t="array" ref="G149">PengRobinsonZ(A149, B149, C149, D149,E149,F149)</f>
        <v>1.6162551949633139</v>
      </c>
      <c r="H149" cm="1">
        <f t="array" ref="H149">LBC(G149, A149, B149, C149, D149, E149, F149)</f>
        <v>9.9513449088139985E-2</v>
      </c>
    </row>
    <row r="150" spans="1:8" x14ac:dyDescent="0.35">
      <c r="A150">
        <f t="shared" si="13"/>
        <v>140</v>
      </c>
      <c r="B150">
        <f t="shared" si="14"/>
        <v>14900</v>
      </c>
      <c r="C150">
        <f t="shared" si="15"/>
        <v>0.6</v>
      </c>
      <c r="D150">
        <f t="shared" si="16"/>
        <v>0.15</v>
      </c>
      <c r="E150">
        <f t="shared" si="17"/>
        <v>0.5</v>
      </c>
      <c r="F150">
        <f t="shared" si="18"/>
        <v>0.02</v>
      </c>
      <c r="G150" cm="1">
        <f t="array" ref="G150">PengRobinsonZ(A150, B150, C150, D150,E150,F150)</f>
        <v>1.6252054254164912</v>
      </c>
      <c r="H150" cm="1">
        <f t="array" ref="H150">LBC(G150, A150, B150, C150, D150, E150, F150)</f>
        <v>9.9830866584628489E-2</v>
      </c>
    </row>
    <row r="151" spans="1:8" x14ac:dyDescent="0.35">
      <c r="A151">
        <f t="shared" si="13"/>
        <v>140</v>
      </c>
      <c r="B151">
        <f t="shared" si="14"/>
        <v>15000</v>
      </c>
      <c r="C151">
        <f t="shared" si="15"/>
        <v>0.6</v>
      </c>
      <c r="D151">
        <f t="shared" si="16"/>
        <v>0.15</v>
      </c>
      <c r="E151">
        <f t="shared" si="17"/>
        <v>0.5</v>
      </c>
      <c r="F151">
        <f t="shared" si="18"/>
        <v>0.02</v>
      </c>
      <c r="G151" cm="1">
        <f t="array" ref="G151">PengRobinsonZ(A151, B151, C151, D151,E151,F151)</f>
        <v>1.6341507545832932</v>
      </c>
      <c r="H151" cm="1">
        <f t="array" ref="H151">LBC(G151, A151, B151, C151, D151, E151, F151)</f>
        <v>0.10014696468945705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burgoyne</dc:creator>
  <cp:lastModifiedBy>Burgoyne, Mark (Mark)</cp:lastModifiedBy>
  <dcterms:created xsi:type="dcterms:W3CDTF">2024-05-23T22:12:26Z</dcterms:created>
  <dcterms:modified xsi:type="dcterms:W3CDTF">2024-05-24T06:26:38Z</dcterms:modified>
</cp:coreProperties>
</file>