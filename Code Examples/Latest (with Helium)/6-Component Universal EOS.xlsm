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wsl.localhost\Ubuntu\home\mark\projects\5_Component_PengRobinson_Z-Factor\Code Examples\Latest (with Helium)\"/>
    </mc:Choice>
  </mc:AlternateContent>
  <xr:revisionPtr revIDLastSave="0" documentId="13_ncr:1_{AE1F1D8A-A8F7-4FCC-9977-A127AC550C68}" xr6:coauthVersionLast="47" xr6:coauthVersionMax="47" xr10:uidLastSave="{00000000-0000-0000-0000-000000000000}"/>
  <bookViews>
    <workbookView xWindow="760" yWindow="760" windowWidth="22300" windowHeight="14260" xr2:uid="{00000000-000D-0000-FFFF-FFFF00000000}"/>
  </bookViews>
  <sheets>
    <sheet name="BNS" sheetId="1" r:id="rId1"/>
  </sheets>
  <functionGroups builtInGroupCount="19"/>
  <definedNames>
    <definedName name="degR">BNS!$P$6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1" l="1"/>
  <c r="G34" i="1"/>
  <c r="G33" i="1"/>
  <c r="G32" i="1"/>
  <c r="F32" i="1"/>
  <c r="G31" i="1"/>
  <c r="C26" i="1"/>
  <c r="J15" i="1"/>
  <c r="I15" i="1"/>
  <c r="H15" i="1"/>
  <c r="G15" i="1"/>
  <c r="F15" i="1"/>
  <c r="E15" i="1"/>
  <c r="D15" i="1"/>
  <c r="D14" i="1" a="1"/>
  <c r="J13" i="1"/>
  <c r="I13" i="1"/>
  <c r="H13" i="1"/>
  <c r="G13" i="1"/>
  <c r="F13" i="1"/>
  <c r="B11" i="1"/>
  <c r="A11" i="1"/>
  <c r="B10" i="1"/>
  <c r="A10" i="1"/>
  <c r="M9" i="1"/>
  <c r="I8" i="1"/>
  <c r="B7" i="1"/>
  <c r="A7" i="1"/>
  <c r="P6" i="1"/>
  <c r="B19" i="1" l="1"/>
  <c r="J26" i="1"/>
  <c r="D26" i="1"/>
  <c r="J14" i="1"/>
  <c r="I14" i="1"/>
  <c r="H14" i="1"/>
  <c r="G14" i="1"/>
  <c r="F14" i="1"/>
  <c r="E14" i="1"/>
  <c r="D14" i="1"/>
  <c r="E34" i="1"/>
  <c r="F33" i="1" s="1"/>
  <c r="C34" i="1"/>
  <c r="F31" i="1" s="1"/>
  <c r="D33" i="1"/>
  <c r="E32" i="1" s="1"/>
  <c r="C33" i="1"/>
  <c r="E31" i="1" s="1"/>
  <c r="C32" i="1"/>
  <c r="D31" i="1" s="1"/>
  <c r="E26" i="1" l="1"/>
  <c r="C36" i="1"/>
  <c r="H31" i="1" s="1"/>
  <c r="D36" i="1"/>
  <c r="H32" i="1" s="1"/>
  <c r="E36" i="1"/>
  <c r="H33" i="1" s="1"/>
  <c r="F36" i="1"/>
  <c r="H34" i="1" s="1"/>
</calcChain>
</file>

<file path=xl/sharedStrings.xml><?xml version="1.0" encoding="utf-8"?>
<sst xmlns="http://schemas.openxmlformats.org/spreadsheetml/2006/main" count="67" uniqueCount="50">
  <si>
    <t>Unified 6 component EOS Model (Burgoyne, Nielsen, Stanko 2025; helium added 2026)</t>
  </si>
  <si>
    <t>Z-Factor, Viscosity &amp; Thermodynamic Properties for hydrocarbon gases and/or CO2, H2S, N2, H2, He</t>
  </si>
  <si>
    <t>Calculator Helper</t>
  </si>
  <si>
    <t>Hydrocarbon Gas MW</t>
  </si>
  <si>
    <t>Metric:</t>
  </si>
  <si>
    <t>Associated Gas:</t>
  </si>
  <si>
    <t>CO2 Mole Fraction</t>
  </si>
  <si>
    <t>H2S Mole Fraction</t>
  </si>
  <si>
    <t>Mole Fractions</t>
  </si>
  <si>
    <t>N2 Mole Fraction</t>
  </si>
  <si>
    <t>degR</t>
  </si>
  <si>
    <t>Gas SG</t>
  </si>
  <si>
    <t>CO2</t>
  </si>
  <si>
    <t>H2S</t>
  </si>
  <si>
    <t>N2</t>
  </si>
  <si>
    <t>H2</t>
  </si>
  <si>
    <t>He</t>
  </si>
  <si>
    <t>H2 Mole Fraction</t>
  </si>
  <si>
    <t>He Mole Fraction</t>
  </si>
  <si>
    <t>Gas Mixture SG</t>
  </si>
  <si>
    <t>Z</t>
  </si>
  <si>
    <t>Vis</t>
  </si>
  <si>
    <t>Den</t>
  </si>
  <si>
    <t>H</t>
  </si>
  <si>
    <t xml:space="preserve"> Cp</t>
  </si>
  <si>
    <t>Cv</t>
  </si>
  <si>
    <t>JT</t>
  </si>
  <si>
    <t>(cP)</t>
  </si>
  <si>
    <t>This Function returns an array =&gt;</t>
  </si>
  <si>
    <t>These return individual results =&gt;</t>
  </si>
  <si>
    <t>Component</t>
  </si>
  <si>
    <t>Mol Wt</t>
  </si>
  <si>
    <t>Tc (R)</t>
  </si>
  <si>
    <t>Pc (psia)</t>
  </si>
  <si>
    <t>Acentric</t>
  </si>
  <si>
    <t>Vol Tran</t>
  </si>
  <si>
    <t>A</t>
  </si>
  <si>
    <t>B</t>
  </si>
  <si>
    <t>VcVis (ft3/lbmol)</t>
  </si>
  <si>
    <t>Gas</t>
  </si>
  <si>
    <t>He Tc 6.35 degR is deliberately non-standard (NIST 9.35 degR). Not a typo; see CHANGELOG.md.</t>
  </si>
  <si>
    <t>BIPS</t>
  </si>
  <si>
    <t>Note: grey cells change with temperature or hydrocarbon gas MW</t>
  </si>
  <si>
    <t>LBC Coefficients</t>
  </si>
  <si>
    <t>P0</t>
  </si>
  <si>
    <t>P1</t>
  </si>
  <si>
    <t>P2</t>
  </si>
  <si>
    <t>P3</t>
  </si>
  <si>
    <t>P4</t>
  </si>
  <si>
    <t>F0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</si>
</sst>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"/>
    <numFmt numFmtId="166" formatCode="0.00000"/>
    <numFmt numFmtId="167" formatCode="0.0000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b/>
      <sz val="14"/>
      <color theme="4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3" borderId="3" xfId="0" applyFill="1" applyBorder="1"/>
    <xf numFmtId="0" fontId="0" fillId="0" borderId="4" xfId="0" applyBorder="1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5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right"/>
    </xf>
    <xf numFmtId="0" fontId="0" fillId="2" borderId="0" xfId="0" applyFill="1"/>
    <xf numFmtId="0" fontId="1" fillId="0" borderId="3" xfId="0" applyFont="1" applyBorder="1" applyAlignment="1">
      <alignment horizontal="center"/>
    </xf>
    <xf numFmtId="0" fontId="0" fillId="4" borderId="3" xfId="0" applyFill="1" applyBorder="1"/>
    <xf numFmtId="0" fontId="0" fillId="4" borderId="0" xfId="0" applyFill="1"/>
    <xf numFmtId="0" fontId="1" fillId="0" borderId="4" xfId="0" applyFont="1" applyBorder="1" applyAlignment="1">
      <alignment horizontal="center"/>
    </xf>
    <xf numFmtId="0" fontId="1" fillId="0" borderId="1" xfId="0" applyFont="1" applyBorder="1"/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165" fontId="0" fillId="0" borderId="0" xfId="0" applyNumberFormat="1"/>
    <xf numFmtId="166" fontId="0" fillId="0" borderId="0" xfId="0" applyNumberFormat="1"/>
    <xf numFmtId="0" fontId="0" fillId="0" borderId="13" xfId="0" applyBorder="1"/>
    <xf numFmtId="0" fontId="0" fillId="0" borderId="14" xfId="0" applyBorder="1" applyAlignment="1">
      <alignment horizontal="right"/>
    </xf>
    <xf numFmtId="165" fontId="0" fillId="5" borderId="15" xfId="0" applyNumberFormat="1" applyFill="1" applyBorder="1"/>
    <xf numFmtId="166" fontId="0" fillId="0" borderId="15" xfId="0" applyNumberFormat="1" applyBorder="1"/>
    <xf numFmtId="164" fontId="0" fillId="0" borderId="15" xfId="0" applyNumberFormat="1" applyBorder="1"/>
    <xf numFmtId="166" fontId="0" fillId="5" borderId="16" xfId="0" applyNumberFormat="1" applyFill="1" applyBorder="1"/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0" xfId="0" applyFont="1" applyBorder="1" applyAlignment="1">
      <alignment horizontal="right"/>
    </xf>
    <xf numFmtId="0" fontId="1" fillId="0" borderId="21" xfId="0" applyFont="1" applyBorder="1" applyAlignment="1">
      <alignment horizontal="right"/>
    </xf>
    <xf numFmtId="0" fontId="1" fillId="0" borderId="22" xfId="0" applyFont="1" applyBorder="1" applyAlignment="1">
      <alignment horizontal="right"/>
    </xf>
    <xf numFmtId="164" fontId="0" fillId="5" borderId="0" xfId="0" applyNumberFormat="1" applyFill="1"/>
    <xf numFmtId="164" fontId="0" fillId="5" borderId="13" xfId="0" applyNumberFormat="1" applyFill="1" applyBorder="1"/>
    <xf numFmtId="164" fontId="0" fillId="5" borderId="15" xfId="0" applyNumberFormat="1" applyFill="1" applyBorder="1"/>
    <xf numFmtId="1" fontId="0" fillId="5" borderId="0" xfId="0" applyNumberFormat="1" applyFill="1"/>
    <xf numFmtId="1" fontId="0" fillId="5" borderId="16" xfId="0" applyNumberFormat="1" applyFill="1" applyBorder="1"/>
    <xf numFmtId="0" fontId="5" fillId="0" borderId="15" xfId="0" applyFont="1" applyBorder="1" applyAlignment="1">
      <alignment horizontal="center" vertical="center" wrapText="1"/>
    </xf>
    <xf numFmtId="167" fontId="0" fillId="5" borderId="15" xfId="0" applyNumberFormat="1" applyFill="1" applyBorder="1"/>
    <xf numFmtId="0" fontId="6" fillId="0" borderId="0" xfId="0" applyFont="1"/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/>
    </xf>
    <xf numFmtId="0" fontId="0" fillId="0" borderId="0" xfId="0"/>
    <xf numFmtId="0" fontId="3" fillId="0" borderId="24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1" fillId="0" borderId="9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5" xfId="0" applyBorder="1"/>
    <xf numFmtId="0" fontId="4" fillId="0" borderId="24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6" borderId="6" xfId="0" applyFill="1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2"/>
  <sheetViews>
    <sheetView tabSelected="1" workbookViewId="0">
      <selection activeCell="H8" sqref="H8"/>
    </sheetView>
  </sheetViews>
  <sheetFormatPr defaultRowHeight="14.5" x14ac:dyDescent="0.35"/>
  <cols>
    <col min="1" max="1" width="12.453125" customWidth="1"/>
    <col min="2" max="2" width="11.453125" customWidth="1"/>
    <col min="3" max="3" width="15.81640625" customWidth="1"/>
    <col min="4" max="4" width="11.81640625" bestFit="1" customWidth="1"/>
    <col min="5" max="5" width="10.81640625" bestFit="1" customWidth="1"/>
    <col min="6" max="6" width="11.1796875" bestFit="1" customWidth="1"/>
    <col min="7" max="7" width="14.26953125" bestFit="1" customWidth="1"/>
    <col min="8" max="9" width="14.1796875" bestFit="1" customWidth="1"/>
    <col min="10" max="10" width="15.54296875" customWidth="1"/>
    <col min="11" max="12" width="4.81640625" customWidth="1"/>
    <col min="14" max="14" width="19.453125" customWidth="1"/>
    <col min="15" max="15" width="8.7265625" hidden="1" customWidth="1"/>
    <col min="16" max="16" width="11.81640625" hidden="1" customWidth="1"/>
  </cols>
  <sheetData>
    <row r="1" spans="1:16" ht="19" customHeight="1" thickBot="1" x14ac:dyDescent="0.5">
      <c r="A1" s="68" t="s">
        <v>0</v>
      </c>
      <c r="B1" s="69"/>
      <c r="C1" s="69"/>
      <c r="D1" s="69"/>
      <c r="E1" s="69"/>
      <c r="F1" s="69"/>
      <c r="G1" s="69"/>
      <c r="H1" s="69"/>
      <c r="I1" s="69"/>
      <c r="J1" s="5"/>
      <c r="K1" s="6"/>
    </row>
    <row r="2" spans="1:16" ht="16.5" customHeight="1" x14ac:dyDescent="0.35">
      <c r="A2" s="62" t="s">
        <v>1</v>
      </c>
      <c r="B2" s="63"/>
      <c r="C2" s="63"/>
      <c r="D2" s="63"/>
      <c r="E2" s="63"/>
      <c r="F2" s="63"/>
      <c r="G2" s="63"/>
      <c r="H2" s="63"/>
      <c r="I2" s="63"/>
      <c r="K2" s="2"/>
      <c r="M2" s="60" t="s">
        <v>2</v>
      </c>
      <c r="N2" s="61"/>
    </row>
    <row r="3" spans="1:16" x14ac:dyDescent="0.35">
      <c r="A3" s="13"/>
      <c r="B3" s="14"/>
      <c r="C3" s="14"/>
      <c r="D3" s="14"/>
      <c r="E3" s="14"/>
      <c r="F3" s="14"/>
      <c r="G3" s="14"/>
      <c r="H3" s="14"/>
      <c r="I3" s="14"/>
      <c r="K3" s="2"/>
      <c r="M3" s="1">
        <v>44.097000000000001</v>
      </c>
      <c r="N3" s="2" t="s">
        <v>3</v>
      </c>
      <c r="P3" t="b">
        <v>1</v>
      </c>
    </row>
    <row r="4" spans="1:16" x14ac:dyDescent="0.35">
      <c r="A4" s="15" t="s">
        <v>4</v>
      </c>
      <c r="B4" s="16" t="b">
        <v>1</v>
      </c>
      <c r="C4" s="9" t="s">
        <v>5</v>
      </c>
      <c r="D4" s="16" t="b">
        <v>0</v>
      </c>
      <c r="K4" s="2"/>
      <c r="M4" s="1">
        <v>0.8</v>
      </c>
      <c r="N4" s="2" t="s">
        <v>6</v>
      </c>
      <c r="P4" t="b">
        <v>0</v>
      </c>
    </row>
    <row r="5" spans="1:16" x14ac:dyDescent="0.35">
      <c r="A5" s="15"/>
      <c r="K5" s="2"/>
      <c r="M5" s="1">
        <v>0</v>
      </c>
      <c r="N5" s="2" t="s">
        <v>7</v>
      </c>
    </row>
    <row r="6" spans="1:16" x14ac:dyDescent="0.35">
      <c r="A6" s="7"/>
      <c r="D6" s="67" t="s">
        <v>8</v>
      </c>
      <c r="E6" s="65"/>
      <c r="F6" s="65"/>
      <c r="G6" s="65"/>
      <c r="H6" s="66"/>
      <c r="K6" s="2"/>
      <c r="M6" s="1">
        <v>0</v>
      </c>
      <c r="N6" s="2" t="s">
        <v>9</v>
      </c>
      <c r="O6" s="4" t="s">
        <v>10</v>
      </c>
      <c r="P6">
        <f>IF(B4,(A8+273.15)*9/5,A8+459.67)</f>
        <v>529.65</v>
      </c>
    </row>
    <row r="7" spans="1:16" x14ac:dyDescent="0.35">
      <c r="A7" s="57" t="str">
        <f>IF($B$4,"Deg C","Deg F")</f>
        <v>Deg C</v>
      </c>
      <c r="B7" s="58" t="str">
        <f>IF($B$4,"MPa","psia")</f>
        <v>MPa</v>
      </c>
      <c r="C7" s="59" t="s">
        <v>11</v>
      </c>
      <c r="D7" s="52" t="s">
        <v>12</v>
      </c>
      <c r="E7" s="75" t="s">
        <v>13</v>
      </c>
      <c r="F7" s="75" t="s">
        <v>14</v>
      </c>
      <c r="G7" s="75" t="s">
        <v>15</v>
      </c>
      <c r="H7" s="53" t="s">
        <v>16</v>
      </c>
      <c r="K7" s="2"/>
      <c r="M7" s="1">
        <v>0</v>
      </c>
      <c r="N7" s="2" t="s">
        <v>17</v>
      </c>
    </row>
    <row r="8" spans="1:16" ht="15" customHeight="1" x14ac:dyDescent="0.35">
      <c r="A8" s="54">
        <v>21.1</v>
      </c>
      <c r="B8" s="55">
        <v>5</v>
      </c>
      <c r="C8" s="56">
        <v>1.51975837072834</v>
      </c>
      <c r="D8" s="54">
        <v>0.8</v>
      </c>
      <c r="E8" s="55">
        <v>0</v>
      </c>
      <c r="F8" s="55">
        <v>0</v>
      </c>
      <c r="G8" s="55">
        <v>0</v>
      </c>
      <c r="H8" s="56">
        <v>0</v>
      </c>
      <c r="I8" s="51" t="str">
        <f>IF(SUM(D8:H8)&gt;1,"**  Error: Sum of inerts &gt; 1.0  **","")</f>
        <v/>
      </c>
      <c r="K8" s="2"/>
      <c r="M8" s="1">
        <v>0</v>
      </c>
      <c r="N8" s="2" t="s">
        <v>18</v>
      </c>
    </row>
    <row r="9" spans="1:16" ht="15" thickBot="1" x14ac:dyDescent="0.4">
      <c r="A9" s="7"/>
      <c r="K9" s="2"/>
      <c r="M9" s="74">
        <f>(M3*(1-SUM(M4:M8))+44.01*M4+34.082*M5+28.014*M6+2.016*M7+4.003*M8)/28.97</f>
        <v>1.5197583707283397</v>
      </c>
      <c r="N9" s="12" t="s">
        <v>19</v>
      </c>
    </row>
    <row r="10" spans="1:16" x14ac:dyDescent="0.35">
      <c r="A10" s="17" t="str">
        <f>IF($B$4,"Deg F", "Deg C")</f>
        <v>Deg F</v>
      </c>
      <c r="B10" s="8" t="str">
        <f>IF($B$4,"psia", "MPa")</f>
        <v>psia</v>
      </c>
      <c r="K10" s="2"/>
    </row>
    <row r="11" spans="1:16" x14ac:dyDescent="0.35">
      <c r="A11" s="18">
        <f>IF($B$4,A8*1.8+32,(A8-32)/1.8)</f>
        <v>69.98</v>
      </c>
      <c r="B11" s="19">
        <f>IF(B4,B8*145.038,B8/145.038)</f>
        <v>725.19</v>
      </c>
      <c r="K11" s="2"/>
      <c r="L11" s="8"/>
    </row>
    <row r="12" spans="1:16" x14ac:dyDescent="0.35">
      <c r="A12" s="7"/>
      <c r="D12" s="8" t="s">
        <v>20</v>
      </c>
      <c r="E12" s="8" t="s">
        <v>21</v>
      </c>
      <c r="F12" s="8" t="s">
        <v>22</v>
      </c>
      <c r="G12" s="8" t="s">
        <v>23</v>
      </c>
      <c r="H12" s="8" t="s">
        <v>24</v>
      </c>
      <c r="I12" s="8" t="s">
        <v>25</v>
      </c>
      <c r="J12" s="8" t="s">
        <v>26</v>
      </c>
      <c r="K12" s="20"/>
      <c r="L12" s="8"/>
    </row>
    <row r="13" spans="1:16" x14ac:dyDescent="0.35">
      <c r="A13" s="7"/>
      <c r="D13" s="8"/>
      <c r="E13" s="8" t="s">
        <v>27</v>
      </c>
      <c r="F13" s="8" t="str">
        <f>IF($B$4,"(kg/m3)","(lb/cuft)")</f>
        <v>(kg/m3)</v>
      </c>
      <c r="G13" s="8" t="str">
        <f>IF($B$4,"(kJ/(kmol))","(Btu/(lb-mol))")</f>
        <v>(kJ/(kmol))</v>
      </c>
      <c r="H13" s="8" t="str">
        <f>IF($B$4,"(kJ/(kmol·K))","(Btu/(lb-mol.R))")</f>
        <v>(kJ/(kmol·K))</v>
      </c>
      <c r="I13" s="8" t="str">
        <f>IF($B$4,"(kJ/(kmol·K))","(Btu/(lb-mol.R))")</f>
        <v>(kJ/(kmol·K))</v>
      </c>
      <c r="J13" s="8" t="str">
        <f>IF($B$4,"(degC/MPa)","(degR/psia)")</f>
        <v>(degC/MPa)</v>
      </c>
      <c r="K13" s="20"/>
    </row>
    <row r="14" spans="1:16" x14ac:dyDescent="0.35">
      <c r="A14" s="7"/>
      <c r="C14" s="9" t="s">
        <v>28</v>
      </c>
      <c r="D14">
        <f t="array" ref="D14:J14">BNS_Full(A8,B8,C8,D8,E8,F8,G8,D4,TRUE,TRUE,TRUE,B4,H8)</f>
        <v>0.64187840632693072</v>
      </c>
      <c r="E14">
        <v>1.7124370212681161E-2</v>
      </c>
      <c r="F14">
        <v>140.18111448611822</v>
      </c>
      <c r="G14">
        <v>-2301.6371741719668</v>
      </c>
      <c r="H14">
        <v>76.135098841645259</v>
      </c>
      <c r="I14">
        <v>35.792353897547947</v>
      </c>
      <c r="J14">
        <v>11.21896208668524</v>
      </c>
      <c r="K14" s="2"/>
    </row>
    <row r="15" spans="1:16" x14ac:dyDescent="0.35">
      <c r="A15" s="7"/>
      <c r="C15" s="9" t="s">
        <v>29</v>
      </c>
      <c r="D15">
        <f t="shared" ref="D15:J15" si="0">BNS_Get(D12,$A8,$B8,$C8,$D8,$E8,$F8,$G8,$D$4,$B$4,$H8)</f>
        <v>0.64187840632693072</v>
      </c>
      <c r="E15">
        <f t="shared" si="0"/>
        <v>1.7124370212681161E-2</v>
      </c>
      <c r="F15">
        <f t="shared" si="0"/>
        <v>140.18111448611822</v>
      </c>
      <c r="G15">
        <f t="shared" si="0"/>
        <v>-2301.6371741719668</v>
      </c>
      <c r="H15">
        <f t="shared" si="0"/>
        <v>76.135098841645259</v>
      </c>
      <c r="I15">
        <f t="shared" si="0"/>
        <v>35.792353897547947</v>
      </c>
      <c r="J15">
        <f t="shared" si="0"/>
        <v>11.21896208668524</v>
      </c>
      <c r="K15" s="2"/>
    </row>
    <row r="16" spans="1:16" ht="15" customHeight="1" thickBot="1" x14ac:dyDescent="0.4">
      <c r="A16" s="10"/>
      <c r="B16" s="11"/>
      <c r="C16" s="11"/>
      <c r="D16" s="11"/>
      <c r="E16" s="11"/>
      <c r="F16" s="11"/>
      <c r="G16" s="11"/>
      <c r="H16" s="11"/>
      <c r="I16" s="11"/>
      <c r="J16" s="11"/>
      <c r="K16" s="12"/>
    </row>
    <row r="17" spans="1:11" ht="15" customHeight="1" thickBot="1" x14ac:dyDescent="0.4"/>
    <row r="18" spans="1:11" x14ac:dyDescent="0.35">
      <c r="A18" s="21"/>
      <c r="B18" s="5"/>
      <c r="C18" s="5"/>
      <c r="D18" s="5"/>
      <c r="E18" s="5"/>
      <c r="F18" s="5"/>
      <c r="G18" s="5"/>
      <c r="H18" s="5"/>
      <c r="I18" s="5"/>
      <c r="J18" s="5"/>
      <c r="K18" s="6"/>
    </row>
    <row r="19" spans="1:11" ht="18.5" customHeight="1" x14ac:dyDescent="0.45">
      <c r="A19" s="7"/>
      <c r="B19" s="64" t="str">
        <f>CONCATENATE("Parameters for EOS Model: ",IF(B4,CONCATENATE("( ", ROUND(A11,1)," degF and ",ROUND(C26,3)," MW Hydrocarbon Gas )"),CONCATENATE("( ", ROUND(A8,1)," degF and ",ROUND(C26,3)," MW Hydrocarbon Gas )")))</f>
        <v>Parameters for EOS Model: ( 70 degF and 44.097 MW Hydrocarbon Gas )</v>
      </c>
      <c r="C19" s="65"/>
      <c r="D19" s="65"/>
      <c r="E19" s="65"/>
      <c r="F19" s="65"/>
      <c r="G19" s="65"/>
      <c r="H19" s="65"/>
      <c r="I19" s="65"/>
      <c r="J19" s="66"/>
      <c r="K19" s="2"/>
    </row>
    <row r="20" spans="1:11" x14ac:dyDescent="0.35">
      <c r="A20" s="7"/>
      <c r="B20" s="38" t="s">
        <v>30</v>
      </c>
      <c r="C20" s="39" t="s">
        <v>31</v>
      </c>
      <c r="D20" s="39" t="s">
        <v>32</v>
      </c>
      <c r="E20" s="39" t="s">
        <v>33</v>
      </c>
      <c r="F20" s="39" t="s">
        <v>34</v>
      </c>
      <c r="G20" s="39" t="s">
        <v>35</v>
      </c>
      <c r="H20" s="39" t="s">
        <v>36</v>
      </c>
      <c r="I20" s="39" t="s">
        <v>37</v>
      </c>
      <c r="J20" s="40" t="s">
        <v>38</v>
      </c>
      <c r="K20" s="2"/>
    </row>
    <row r="21" spans="1:11" x14ac:dyDescent="0.35">
      <c r="A21" s="7"/>
      <c r="B21" s="23" t="s">
        <v>12</v>
      </c>
      <c r="C21" s="24">
        <v>44.01</v>
      </c>
      <c r="D21" s="24">
        <v>547.41600000000005</v>
      </c>
      <c r="E21" s="24">
        <v>1069.51</v>
      </c>
      <c r="F21" s="25">
        <v>0.12253</v>
      </c>
      <c r="G21" s="25">
        <v>-0.27606999999999998</v>
      </c>
      <c r="H21" s="3">
        <v>0.42767100000000002</v>
      </c>
      <c r="I21" s="3">
        <v>6.9639699999999999E-2</v>
      </c>
      <c r="J21" s="26">
        <v>1.4635199999999999</v>
      </c>
      <c r="K21" s="2"/>
    </row>
    <row r="22" spans="1:11" x14ac:dyDescent="0.35">
      <c r="A22" s="7"/>
      <c r="B22" s="23" t="s">
        <v>13</v>
      </c>
      <c r="C22" s="24">
        <v>34.082000000000001</v>
      </c>
      <c r="D22" s="24">
        <v>672.12</v>
      </c>
      <c r="E22" s="24">
        <v>1299.97</v>
      </c>
      <c r="F22" s="25">
        <v>4.9090000000000002E-2</v>
      </c>
      <c r="G22" s="25">
        <v>-0.22900999999999999</v>
      </c>
      <c r="H22" s="3">
        <v>0.43672499999999997</v>
      </c>
      <c r="I22" s="3">
        <v>7.2434499999999999E-2</v>
      </c>
      <c r="J22" s="26">
        <v>1.4680800000000001</v>
      </c>
      <c r="K22" s="2"/>
    </row>
    <row r="23" spans="1:11" x14ac:dyDescent="0.35">
      <c r="A23" s="7"/>
      <c r="B23" s="23" t="s">
        <v>14</v>
      </c>
      <c r="C23" s="24">
        <v>28.013999999999999</v>
      </c>
      <c r="D23" s="24">
        <v>227.16</v>
      </c>
      <c r="E23" s="24">
        <v>492.84</v>
      </c>
      <c r="F23" s="25">
        <v>3.6999999999999998E-2</v>
      </c>
      <c r="G23" s="25">
        <v>-0.21065999999999999</v>
      </c>
      <c r="H23" s="3">
        <v>0.45723599999999998</v>
      </c>
      <c r="I23" s="3">
        <v>7.7796100000000007E-2</v>
      </c>
      <c r="J23" s="26">
        <v>1.3552599999999999</v>
      </c>
      <c r="K23" s="2"/>
    </row>
    <row r="24" spans="1:11" x14ac:dyDescent="0.35">
      <c r="A24" s="7"/>
      <c r="B24" s="23" t="s">
        <v>15</v>
      </c>
      <c r="C24" s="24">
        <v>2.016</v>
      </c>
      <c r="D24" s="24">
        <v>47.43</v>
      </c>
      <c r="E24" s="24">
        <v>187.53</v>
      </c>
      <c r="F24" s="25">
        <v>-0.217</v>
      </c>
      <c r="G24" s="25">
        <v>-0.36270000000000002</v>
      </c>
      <c r="H24" s="3">
        <v>0.45723599999999998</v>
      </c>
      <c r="I24" s="3">
        <v>7.7796100000000007E-2</v>
      </c>
      <c r="J24" s="26">
        <v>0.68472999999999995</v>
      </c>
      <c r="K24" s="2"/>
    </row>
    <row r="25" spans="1:11" x14ac:dyDescent="0.35">
      <c r="A25" s="7"/>
      <c r="B25" s="23" t="s">
        <v>16</v>
      </c>
      <c r="C25" s="24">
        <v>4.0030000000000001</v>
      </c>
      <c r="D25" s="24">
        <v>6.35</v>
      </c>
      <c r="E25" s="24">
        <v>32.9236</v>
      </c>
      <c r="F25" s="25">
        <v>-0.17984</v>
      </c>
      <c r="G25" s="25">
        <v>-7.8081999999999999E-2</v>
      </c>
      <c r="H25" s="3">
        <v>0.45723599999999998</v>
      </c>
      <c r="I25" s="3">
        <v>7.7796100000000007E-2</v>
      </c>
      <c r="J25" s="26">
        <v>0.76778000000000002</v>
      </c>
      <c r="K25" s="2"/>
    </row>
    <row r="26" spans="1:11" x14ac:dyDescent="0.35">
      <c r="A26" s="7"/>
      <c r="B26" s="27" t="s">
        <v>39</v>
      </c>
      <c r="C26" s="50">
        <f>IF(SUM(D8:H8)&gt;=1,16.0425,MAX(16.0425,(C8*28.97-(44.01*D8+34.082*E8+28.014*F8+2.016*G8+4.003*H8))/(1-SUM(D8:H8))))</f>
        <v>44.097000000000051</v>
      </c>
      <c r="D26" s="28">
        <f>IF(D4,2695.14765*MAX(0,C26-16.0425)/(274.341701+MAX(0,C26-16.0425)),1098.10948*MAX(0,C26-16.0425)/(101.529237+MAX(0,C26-16.0425)))+343.008</f>
        <v>580.74549021190865</v>
      </c>
      <c r="E26" s="28">
        <f>D26*10.731577089016/(IF(D4,0.177497835,0.170931432)*MAX(0,C26-16.0425)+10.731577089016*343.008/667.029)</f>
        <v>604.26239015366139</v>
      </c>
      <c r="F26" s="29">
        <v>-3.8989999999999997E-2</v>
      </c>
      <c r="G26" s="29">
        <v>-0.19076000000000001</v>
      </c>
      <c r="H26" s="30">
        <v>0.45723599999999998</v>
      </c>
      <c r="I26" s="30">
        <v>7.7796100000000007E-2</v>
      </c>
      <c r="J26" s="31">
        <f>0.057671*(C26-16.0425)+1.44383</f>
        <v>3.0617610695000028</v>
      </c>
      <c r="K26" s="2"/>
    </row>
    <row r="27" spans="1:11" x14ac:dyDescent="0.35">
      <c r="A27" s="7"/>
      <c r="B27" t="s">
        <v>40</v>
      </c>
      <c r="K27" s="2"/>
    </row>
    <row r="28" spans="1:11" x14ac:dyDescent="0.35">
      <c r="A28" s="7"/>
      <c r="K28" s="2"/>
    </row>
    <row r="29" spans="1:11" x14ac:dyDescent="0.35">
      <c r="A29" s="7"/>
      <c r="B29" s="70" t="s">
        <v>41</v>
      </c>
      <c r="C29" s="65"/>
      <c r="D29" s="65"/>
      <c r="E29" s="65"/>
      <c r="F29" s="65"/>
      <c r="G29" s="65"/>
      <c r="H29" s="66"/>
      <c r="K29" s="2"/>
    </row>
    <row r="30" spans="1:11" x14ac:dyDescent="0.35">
      <c r="A30" s="7"/>
      <c r="B30" s="22"/>
      <c r="C30" s="38" t="s">
        <v>12</v>
      </c>
      <c r="D30" s="39" t="s">
        <v>13</v>
      </c>
      <c r="E30" s="39" t="s">
        <v>14</v>
      </c>
      <c r="F30" s="39" t="s">
        <v>15</v>
      </c>
      <c r="G30" s="39" t="s">
        <v>16</v>
      </c>
      <c r="H30" s="40" t="s">
        <v>39</v>
      </c>
      <c r="K30" s="2"/>
    </row>
    <row r="31" spans="1:11" x14ac:dyDescent="0.35">
      <c r="A31" s="7"/>
      <c r="B31" s="41" t="s">
        <v>12</v>
      </c>
      <c r="C31" s="47">
        <v>0</v>
      </c>
      <c r="D31" s="44">
        <f>C32</f>
        <v>0.10581787357689038</v>
      </c>
      <c r="E31" s="44">
        <f>C33</f>
        <v>-0.13008835208156327</v>
      </c>
      <c r="F31" s="44">
        <f>C34</f>
        <v>-7.7889678334749357E-2</v>
      </c>
      <c r="G31" s="47">
        <f>C35</f>
        <v>0</v>
      </c>
      <c r="H31" s="45">
        <f>C36</f>
        <v>0.15769198162727838</v>
      </c>
      <c r="K31" s="2"/>
    </row>
    <row r="32" spans="1:11" x14ac:dyDescent="0.35">
      <c r="A32" s="7"/>
      <c r="B32" s="42" t="s">
        <v>13</v>
      </c>
      <c r="C32" s="44">
        <f>0.248638-0.138185*547.416/degR</f>
        <v>0.10581787357689038</v>
      </c>
      <c r="D32" s="47">
        <v>0</v>
      </c>
      <c r="E32" s="44">
        <f>D33</f>
        <v>9.305858385726426E-2</v>
      </c>
      <c r="F32" s="47">
        <f>D34</f>
        <v>0</v>
      </c>
      <c r="G32" s="47">
        <f>D35</f>
        <v>0</v>
      </c>
      <c r="H32" s="45">
        <f>D36</f>
        <v>3.4336158593121946E-2</v>
      </c>
      <c r="K32" s="2"/>
    </row>
    <row r="33" spans="1:11" x14ac:dyDescent="0.35">
      <c r="A33" s="7"/>
      <c r="B33" s="42" t="s">
        <v>14</v>
      </c>
      <c r="C33" s="44">
        <f>-0.25+0.11602*547.416/degR</f>
        <v>-0.13008835208156327</v>
      </c>
      <c r="D33" s="44">
        <f>-0.204414+0.234417*672.12/degR</f>
        <v>9.305858385726426E-2</v>
      </c>
      <c r="E33" s="47">
        <v>0</v>
      </c>
      <c r="F33" s="44">
        <f>E34</f>
        <v>-0.13245117169073917</v>
      </c>
      <c r="G33" s="47">
        <f>E35</f>
        <v>0</v>
      </c>
      <c r="H33" s="45">
        <f>E36</f>
        <v>-4.1608065931038982E-2</v>
      </c>
      <c r="K33" s="2"/>
    </row>
    <row r="34" spans="1:11" x14ac:dyDescent="0.35">
      <c r="A34" s="7"/>
      <c r="B34" s="42" t="s">
        <v>15</v>
      </c>
      <c r="C34" s="44">
        <f>-0.247153+0.16377*547.416/degR</f>
        <v>-7.7889678334749357E-2</v>
      </c>
      <c r="D34" s="47">
        <v>0</v>
      </c>
      <c r="E34" s="44">
        <f>-0.166253+0.0788129*227.16/degR</f>
        <v>-0.13245117169073917</v>
      </c>
      <c r="F34" s="47">
        <v>0</v>
      </c>
      <c r="G34" s="47">
        <f>F35</f>
        <v>0</v>
      </c>
      <c r="H34" s="45">
        <f>F36</f>
        <v>-1.5096896670737277E-2</v>
      </c>
      <c r="K34" s="2"/>
    </row>
    <row r="35" spans="1:11" x14ac:dyDescent="0.35">
      <c r="A35" s="7"/>
      <c r="B35" s="42" t="s">
        <v>16</v>
      </c>
      <c r="C35" s="47">
        <v>0</v>
      </c>
      <c r="D35" s="47">
        <v>0</v>
      </c>
      <c r="E35" s="47">
        <v>0</v>
      </c>
      <c r="F35" s="47">
        <v>0</v>
      </c>
      <c r="G35" s="47">
        <v>0</v>
      </c>
      <c r="H35" s="45">
        <f>G36</f>
        <v>0</v>
      </c>
      <c r="K35" s="2"/>
    </row>
    <row r="36" spans="1:11" x14ac:dyDescent="0.35">
      <c r="A36" s="7"/>
      <c r="B36" s="43" t="s">
        <v>39</v>
      </c>
      <c r="C36" s="46">
        <f>-0.145561+0.276572*$D$26/degR</f>
        <v>0.15769198162727838</v>
      </c>
      <c r="D36" s="46">
        <f>0.16852-0.122378*$D$26/degR</f>
        <v>3.4336158593121946E-2</v>
      </c>
      <c r="E36" s="46">
        <f>-0.108+0.0605506*$D$26/degR</f>
        <v>-4.1608065931038982E-2</v>
      </c>
      <c r="F36" s="46">
        <f>-0.0620119+0.0427873*$D$26/degR</f>
        <v>-1.5096896670737277E-2</v>
      </c>
      <c r="G36" s="46">
        <v>0</v>
      </c>
      <c r="H36" s="48">
        <v>0</v>
      </c>
      <c r="K36" s="2"/>
    </row>
    <row r="37" spans="1:11" x14ac:dyDescent="0.35">
      <c r="A37" s="7"/>
      <c r="B37" t="s">
        <v>42</v>
      </c>
      <c r="K37" s="2"/>
    </row>
    <row r="38" spans="1:11" x14ac:dyDescent="0.35">
      <c r="A38" s="7"/>
      <c r="K38" s="2"/>
    </row>
    <row r="39" spans="1:11" x14ac:dyDescent="0.35">
      <c r="A39" s="7"/>
      <c r="B39" s="71" t="s">
        <v>43</v>
      </c>
      <c r="C39" s="72"/>
      <c r="D39" s="72"/>
      <c r="E39" s="72"/>
      <c r="F39" s="72"/>
      <c r="G39" s="73"/>
      <c r="K39" s="2"/>
    </row>
    <row r="40" spans="1:11" x14ac:dyDescent="0.35">
      <c r="A40" s="7"/>
      <c r="B40" s="35" t="s">
        <v>44</v>
      </c>
      <c r="C40" s="36" t="s">
        <v>45</v>
      </c>
      <c r="D40" s="36" t="s">
        <v>46</v>
      </c>
      <c r="E40" s="36" t="s">
        <v>47</v>
      </c>
      <c r="F40" s="36" t="s">
        <v>48</v>
      </c>
      <c r="G40" s="37" t="s">
        <v>49</v>
      </c>
      <c r="K40" s="2"/>
    </row>
    <row r="41" spans="1:11" x14ac:dyDescent="0.35">
      <c r="A41" s="7"/>
      <c r="B41" s="32">
        <v>0.1023</v>
      </c>
      <c r="C41" s="33">
        <v>2.3363999999999999E-2</v>
      </c>
      <c r="D41" s="33">
        <v>5.8533000000000002E-2</v>
      </c>
      <c r="E41" s="49">
        <v>-3.9286700000000001E-2</v>
      </c>
      <c r="F41" s="49">
        <v>9.2632099999999992E-3</v>
      </c>
      <c r="G41" s="34">
        <v>0.1</v>
      </c>
      <c r="K41" s="2"/>
    </row>
    <row r="42" spans="1:11" ht="15" customHeight="1" thickBot="1" x14ac:dyDescent="0.4">
      <c r="A42" s="10"/>
      <c r="B42" s="11"/>
      <c r="C42" s="11"/>
      <c r="D42" s="11"/>
      <c r="E42" s="11"/>
      <c r="F42" s="11"/>
      <c r="G42" s="11"/>
      <c r="H42" s="11"/>
      <c r="I42" s="11"/>
      <c r="J42" s="11"/>
      <c r="K42" s="12"/>
    </row>
  </sheetData>
  <mergeCells count="7">
    <mergeCell ref="B29:H29"/>
    <mergeCell ref="B39:G39"/>
    <mergeCell ref="M2:N2"/>
    <mergeCell ref="A2:I2"/>
    <mergeCell ref="B19:J19"/>
    <mergeCell ref="D6:H6"/>
    <mergeCell ref="A1:I1"/>
  </mergeCells>
  <dataValidations count="1">
    <dataValidation type="list" allowBlank="1" showInputMessage="1" showErrorMessage="1" sqref="B4 D4" xr:uid="{00000000-0002-0000-0000-000000000000}">
      <formula1>$P$3:$P$4</formula1>
    </dataValidation>
  </dataValidation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826c2670-3368-498f-a16b-70466cda23c0}" enabled="1" method="Standard" siteId="{447a9cb9-b230-46bf-b430-a7b9f50e3c1e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BNS</vt:lpstr>
      <vt:lpstr>degR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Burgoyne, Mark (Mark)</dc:creator>
  <cp:lastModifiedBy>Burgoyne, Mark (Mark)</cp:lastModifiedBy>
  <dcterms:created xsi:type="dcterms:W3CDTF">2025-06-05T00:23:33Z</dcterms:created>
  <dcterms:modified xsi:type="dcterms:W3CDTF">2026-10-02T22:12:27Z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0x01010098497C0BDB29574BAD6311EA27BA3A4A</vt:lpwstr>
  </property>
</Properties>
</file>