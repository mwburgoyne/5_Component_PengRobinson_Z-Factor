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d4fc568b21d240e/Desktop/"/>
    </mc:Choice>
  </mc:AlternateContent>
  <xr:revisionPtr revIDLastSave="462" documentId="8_{BE56C7DD-C2F9-4A92-81C4-6829ADEFE395}" xr6:coauthVersionLast="47" xr6:coauthVersionMax="47" xr10:uidLastSave="{51370867-B54E-4C3B-A189-4C4044BA2449}"/>
  <bookViews>
    <workbookView xWindow="760" yWindow="760" windowWidth="22300" windowHeight="14260" xr2:uid="{FBD3F402-8CDE-4D5A-A183-C0DA425295C2}"/>
  </bookViews>
  <sheets>
    <sheet name="BNS" sheetId="1" r:id="rId1"/>
  </sheets>
  <functionGroups builtInGroupCount="19"/>
  <definedNames>
    <definedName name="_xleta.N" hidden="1" xlm="1">#NAME?</definedName>
    <definedName name="_xleta.T" hidden="1" xlm="1">#NAME?</definedName>
    <definedName name="degR">BNS!$P$6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" l="1"/>
  <c r="J13" i="1"/>
  <c r="G13" i="1"/>
  <c r="H8" i="1"/>
  <c r="C25" i="1"/>
  <c r="F15" i="1" a="1"/>
  <c r="J15" i="1" a="1"/>
  <c r="I15" i="1" a="1"/>
  <c r="G15" i="1" a="1"/>
  <c r="E15" i="1" a="1"/>
  <c r="H15" i="1" a="1"/>
  <c r="D15" i="1" a="1"/>
  <c r="D14" i="1" a="1"/>
  <c r="D25" i="1"/>
  <c r="E25" i="1" s="1"/>
  <c r="M8" i="1"/>
  <c r="J25" i="1" l="1"/>
  <c r="F30" i="1"/>
  <c r="P6" i="1"/>
  <c r="A11" i="1"/>
  <c r="B11" i="1"/>
  <c r="B10" i="1"/>
  <c r="A10" i="1"/>
  <c r="A7" i="1"/>
  <c r="B7" i="1"/>
  <c r="H13" i="1"/>
  <c r="F13" i="1"/>
  <c r="C30" i="1" l="1"/>
  <c r="D29" i="1" s="1"/>
  <c r="C33" i="1"/>
  <c r="B19" i="1"/>
  <c r="D31" i="1"/>
  <c r="E30" i="1" s="1"/>
  <c r="E32" i="1"/>
  <c r="F31" i="1" s="1"/>
  <c r="C32" i="1"/>
  <c r="F29" i="1" s="1"/>
  <c r="C31" i="1"/>
  <c r="E29" i="1" s="1"/>
  <c r="F33" i="1" l="1"/>
  <c r="G32" i="1" s="1"/>
  <c r="E33" i="1"/>
  <c r="G31" i="1" s="1"/>
  <c r="D33" i="1"/>
  <c r="G30" i="1" s="1"/>
  <c r="G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<sst xmlns="http://schemas.openxmlformats.org/spreadsheetml/2006/main" count="63" uniqueCount="49">
  <si>
    <t>Z</t>
  </si>
  <si>
    <t>Vis</t>
  </si>
  <si>
    <t>H</t>
  </si>
  <si>
    <t xml:space="preserve"> Cp</t>
  </si>
  <si>
    <t>CO2</t>
  </si>
  <si>
    <t>H2S</t>
  </si>
  <si>
    <t>N2</t>
  </si>
  <si>
    <t>H2</t>
  </si>
  <si>
    <t>JT</t>
  </si>
  <si>
    <t>These return individual results =&gt;</t>
  </si>
  <si>
    <t>(cP)</t>
  </si>
  <si>
    <t>This Function returns an array =&gt;</t>
  </si>
  <si>
    <t>Gas SG</t>
  </si>
  <si>
    <t>CO2 Mole Fraction</t>
  </si>
  <si>
    <t>H2S Mole Fraction</t>
  </si>
  <si>
    <t>N2 Mole Fraction</t>
  </si>
  <si>
    <t>H2 Mole Fraction</t>
  </si>
  <si>
    <t>Gas Mixture SG</t>
  </si>
  <si>
    <t>Calculator Helper</t>
  </si>
  <si>
    <t>Den</t>
  </si>
  <si>
    <t>Metric: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</si>
  <si>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</si>
  <si>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</si>
  <si>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</si>
  <si>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</si>
  <si>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</si>
  <si>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</si>
  <si>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</si>
  <si>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</si>
  <si>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</si>
  <si>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</si>
  <si>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BIPS</t>
  </si>
  <si>
    <t>LBC Coefficients</t>
  </si>
  <si>
    <t>P0</t>
  </si>
  <si>
    <t>P1</t>
  </si>
  <si>
    <t>P2</t>
  </si>
  <si>
    <t>P3</t>
  </si>
  <si>
    <t>P4</t>
  </si>
  <si>
    <t>F0</t>
  </si>
  <si>
    <t>degR</t>
  </si>
  <si>
    <t>Hydrocarbon Gas MW</t>
  </si>
  <si>
    <t>Note:</t>
  </si>
  <si>
    <t>or hydrocarbon gas MW</t>
  </si>
  <si>
    <r>
      <rPr>
        <u/>
        <sz val="11"/>
        <color theme="1"/>
        <rFont val="Aptos Narrow"/>
        <family val="2"/>
        <scheme val="minor"/>
      </rPr>
      <t>Grey</t>
    </r>
    <r>
      <rPr>
        <sz val="11"/>
        <color theme="1"/>
        <rFont val="Aptos Narrow"/>
        <family val="2"/>
        <scheme val="minor"/>
      </rPr>
      <t xml:space="preserve"> cells change with temperature</t>
    </r>
  </si>
  <si>
    <t>Associated Gas:</t>
  </si>
  <si>
    <t>Mole Fractions</t>
  </si>
  <si>
    <t>Unified 5 component EOS Model (Burgoyne, Nielsen, Stanko 2025)</t>
  </si>
  <si>
    <r>
      <t>Z-Factor, Viscosity &amp; Thermodynamic Properties for hydrocarbon gases and/or CO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S, N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</si>
  <si>
    <t>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</si>
</sst>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"/>
    <numFmt numFmtId="166" formatCode="0.000"/>
    <numFmt numFmtId="167" formatCode="0.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vertAlign val="subscript"/>
      <sz val="11"/>
      <color rgb="FF00206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4" xfId="0" applyFont="1" applyBorder="1" applyAlignment="1">
      <alignment horizontal="right"/>
    </xf>
    <xf numFmtId="0" fontId="0" fillId="0" borderId="14" xfId="0" applyBorder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5" borderId="17" xfId="0" applyNumberFormat="1" applyFill="1" applyBorder="1"/>
    <xf numFmtId="165" fontId="0" fillId="0" borderId="17" xfId="0" applyNumberFormat="1" applyBorder="1"/>
    <xf numFmtId="164" fontId="0" fillId="0" borderId="17" xfId="0" applyNumberFormat="1" applyBorder="1"/>
    <xf numFmtId="165" fontId="0" fillId="5" borderId="18" xfId="0" applyNumberFormat="1" applyFill="1" applyBorder="1"/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0" fillId="5" borderId="0" xfId="0" applyNumberFormat="1" applyFill="1"/>
    <xf numFmtId="164" fontId="0" fillId="5" borderId="15" xfId="0" applyNumberFormat="1" applyFill="1" applyBorder="1"/>
    <xf numFmtId="164" fontId="0" fillId="5" borderId="17" xfId="0" applyNumberFormat="1" applyFill="1" applyBorder="1"/>
    <xf numFmtId="1" fontId="0" fillId="5" borderId="0" xfId="0" applyNumberFormat="1" applyFill="1"/>
    <xf numFmtId="1" fontId="0" fillId="5" borderId="18" xfId="0" applyNumberFormat="1" applyFill="1" applyBorder="1"/>
    <xf numFmtId="0" fontId="5" fillId="0" borderId="17" xfId="0" applyFont="1" applyBorder="1" applyAlignment="1">
      <alignment horizontal="center" vertical="center" wrapText="1"/>
    </xf>
    <xf numFmtId="0" fontId="7" fillId="0" borderId="0" xfId="0" applyFont="1"/>
    <xf numFmtId="167" fontId="0" fillId="5" borderId="17" xfId="0" applyNumberFormat="1" applyFill="1" applyBorder="1"/>
    <xf numFmtId="0" fontId="8" fillId="0" borderId="0" xfId="0" applyFont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eetMetadata" Target="metadata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52A6-6927-432C-8B26-AE6420CAFE53}">
  <sheetPr codeName="Sheet1"/>
  <dimension ref="A1:P39"/>
  <sheetViews>
    <sheetView tabSelected="1" workbookViewId="0">
      <selection activeCell="I7" sqref="I7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thickBot="1" x14ac:dyDescent="0.5">
      <c r="A1" s="66" t="s">
        <v>46</v>
      </c>
      <c r="B1" s="67"/>
      <c r="C1" s="67"/>
      <c r="D1" s="67"/>
      <c r="E1" s="67"/>
      <c r="F1" s="67"/>
      <c r="G1" s="67"/>
      <c r="H1" s="67"/>
      <c r="I1" s="67"/>
      <c r="J1" s="7"/>
      <c r="K1" s="8"/>
    </row>
    <row r="2" spans="1:16" ht="16.5" x14ac:dyDescent="0.45">
      <c r="A2" s="68" t="s">
        <v>47</v>
      </c>
      <c r="B2" s="69"/>
      <c r="C2" s="69"/>
      <c r="D2" s="69"/>
      <c r="E2" s="69"/>
      <c r="F2" s="69"/>
      <c r="G2" s="69"/>
      <c r="H2" s="69"/>
      <c r="I2" s="69"/>
      <c r="K2" s="2"/>
      <c r="M2" s="70" t="s">
        <v>18</v>
      </c>
      <c r="N2" s="71"/>
    </row>
    <row r="3" spans="1:16" x14ac:dyDescent="0.35">
      <c r="A3" s="15"/>
      <c r="B3" s="16"/>
      <c r="C3" s="16"/>
      <c r="D3" s="16"/>
      <c r="E3" s="16"/>
      <c r="F3" s="16"/>
      <c r="G3" s="16"/>
      <c r="H3" s="16"/>
      <c r="I3" s="16"/>
      <c r="K3" s="2"/>
      <c r="M3" s="1">
        <v>44.097000000000001</v>
      </c>
      <c r="N3" s="2" t="s">
        <v>40</v>
      </c>
      <c r="P3" t="b">
        <v>1</v>
      </c>
    </row>
    <row r="4" spans="1:16" x14ac:dyDescent="0.35">
      <c r="A4" s="17" t="s">
        <v>20</v>
      </c>
      <c r="B4" s="18" t="b">
        <v>1</v>
      </c>
      <c r="C4" s="11" t="s">
        <v>44</v>
      </c>
      <c r="D4" s="18" t="b">
        <v>0</v>
      </c>
      <c r="K4" s="2"/>
      <c r="M4" s="1">
        <v>0.8</v>
      </c>
      <c r="N4" s="2" t="s">
        <v>13</v>
      </c>
      <c r="P4" t="b">
        <v>0</v>
      </c>
    </row>
    <row r="5" spans="1:16" x14ac:dyDescent="0.35">
      <c r="A5" s="17"/>
      <c r="K5" s="2"/>
      <c r="M5" s="1">
        <v>0</v>
      </c>
      <c r="N5" s="2" t="s">
        <v>14</v>
      </c>
    </row>
    <row r="6" spans="1:16" x14ac:dyDescent="0.35">
      <c r="A6" s="9"/>
      <c r="D6" s="78" t="s">
        <v>45</v>
      </c>
      <c r="E6" s="79"/>
      <c r="F6" s="79"/>
      <c r="G6" s="80"/>
      <c r="K6" s="2"/>
      <c r="M6" s="1">
        <v>0</v>
      </c>
      <c r="N6" s="2" t="s">
        <v>15</v>
      </c>
      <c r="O6" s="6" t="s">
        <v>39</v>
      </c>
      <c r="P6">
        <f>IF(B4,(A8+273.15)*9/5,A8+459.67)</f>
        <v>529.65</v>
      </c>
    </row>
    <row r="7" spans="1:16" x14ac:dyDescent="0.35">
      <c r="A7" s="60" t="str">
        <f>IF($B$4,"Deg C","Deg F")</f>
        <v>Deg C</v>
      </c>
      <c r="B7" s="61" t="str">
        <f>IF($B$4,"MPa","psia")</f>
        <v>MPa</v>
      </c>
      <c r="C7" s="62" t="s">
        <v>12</v>
      </c>
      <c r="D7" s="55" t="s">
        <v>4</v>
      </c>
      <c r="E7" s="10" t="s">
        <v>5</v>
      </c>
      <c r="F7" s="10" t="s">
        <v>6</v>
      </c>
      <c r="G7" s="56" t="s">
        <v>7</v>
      </c>
      <c r="H7" s="10"/>
      <c r="K7" s="2"/>
      <c r="M7" s="1">
        <v>0</v>
      </c>
      <c r="N7" s="2" t="s">
        <v>16</v>
      </c>
    </row>
    <row r="8" spans="1:16" ht="15" thickBot="1" x14ac:dyDescent="0.4">
      <c r="A8" s="57">
        <v>21.1</v>
      </c>
      <c r="B8" s="58">
        <v>5</v>
      </c>
      <c r="C8" s="59">
        <v>1.5197583707283397</v>
      </c>
      <c r="D8" s="57">
        <v>0.8</v>
      </c>
      <c r="E8" s="58">
        <v>0</v>
      </c>
      <c r="F8" s="58">
        <v>0</v>
      </c>
      <c r="G8" s="59">
        <v>0</v>
      </c>
      <c r="H8" s="54" t="str">
        <f>IF(SUM(D8:G8)&gt;1,"**  Error: Sum of inerts &gt; 1.0  **","")</f>
        <v/>
      </c>
      <c r="K8" s="2"/>
      <c r="M8" s="3">
        <f>(M3*(1-SUM(M4:M7)) + 44.01*M4+34.082*M5+M6* 28.014+M7*2.016)/28.97</f>
        <v>1.5197583707283397</v>
      </c>
      <c r="N8" s="4" t="s">
        <v>17</v>
      </c>
    </row>
    <row r="9" spans="1:16" x14ac:dyDescent="0.35">
      <c r="A9" s="9"/>
      <c r="K9" s="2"/>
    </row>
    <row r="10" spans="1:16" x14ac:dyDescent="0.35">
      <c r="A10" s="19" t="str">
        <f>IF($B$4,"Deg F", "Deg C")</f>
        <v>Deg F</v>
      </c>
      <c r="B10" s="10" t="str">
        <f>IF($B$4,"psia", "MPa")</f>
        <v>psia</v>
      </c>
      <c r="K10" s="2"/>
    </row>
    <row r="11" spans="1:16" x14ac:dyDescent="0.35">
      <c r="A11" s="20">
        <f>IF($B$4,A8*1.8+32,(A8-32)/1.8)</f>
        <v>69.98</v>
      </c>
      <c r="B11" s="21">
        <f>IF(B4,B8*145.038,B8/145.038)</f>
        <v>725.19</v>
      </c>
      <c r="K11" s="2"/>
      <c r="L11" s="10"/>
    </row>
    <row r="12" spans="1:16" x14ac:dyDescent="0.35">
      <c r="A12" s="9"/>
      <c r="D12" s="10" t="s">
        <v>0</v>
      </c>
      <c r="E12" s="10" t="s">
        <v>1</v>
      </c>
      <c r="F12" s="10" t="s">
        <v>19</v>
      </c>
      <c r="G12" s="10" t="s">
        <v>2</v>
      </c>
      <c r="H12" s="10" t="s">
        <v>3</v>
      </c>
      <c r="I12" s="10" t="s">
        <v>48</v>
      </c>
      <c r="J12" s="10" t="s">
        <v>8</v>
      </c>
      <c r="K12" s="22"/>
      <c r="L12" s="10"/>
    </row>
    <row r="13" spans="1:16" x14ac:dyDescent="0.35">
      <c r="A13" s="9"/>
      <c r="D13" s="10"/>
      <c r="E13" s="10" t="s">
        <v>10</v>
      </c>
      <c r="F13" s="10" t="str">
        <f>IF($B$4,"(kg/m3)","(lb/cuft)")</f>
        <v>(kg/m3)</v>
      </c>
      <c r="G13" s="10" t="str">
        <f>IF($B$4,"(kJ/(kmol))","(Btu/(lb-mol))")</f>
        <v>(kJ/(kmol))</v>
      </c>
      <c r="H13" s="10" t="str">
        <f>IF($B$4,"(kJ/(kmol·K))","(Btu/(lb-mol.R))")</f>
        <v>(kJ/(kmol·K))</v>
      </c>
      <c r="I13" s="10" t="str">
        <f>IF($B$4,"(kJ/(kmol·K))","(Btu/(lb-mol.R))")</f>
        <v>(kJ/(kmol·K))</v>
      </c>
      <c r="J13" s="10" t="str">
        <f>IF($B$4,"(degC/MPa)","(degR/psia)")</f>
        <v>(degC/MPa)</v>
      </c>
      <c r="K13" s="22"/>
    </row>
    <row r="14" spans="1:16" x14ac:dyDescent="0.35">
      <c r="A14" s="9"/>
      <c r="C14" s="11" t="s">
        <v>11</v>
      </c>
      <c r="D14" cm="1">
        <f t="array" ref="D14:J14">BNS_Full( A8, B8, C8, D8, E8, F8, G8, D4, TRUE, TRUE, TRUE, B4)</f>
        <v>0.64192039355722375</v>
      </c>
      <c r="E14">
        <v>1.7124432906097574E-2</v>
      </c>
      <c r="F14">
        <v>140.17194541033288</v>
      </c>
      <c r="G14">
        <v>-2336.608239581984</v>
      </c>
      <c r="H14">
        <v>76.127597563030307</v>
      </c>
      <c r="I14">
        <v>35.792880060093971</v>
      </c>
      <c r="J14">
        <v>11.312179375178534</v>
      </c>
      <c r="K14" s="2"/>
    </row>
    <row r="15" spans="1:16" x14ac:dyDescent="0.35">
      <c r="A15" s="9"/>
      <c r="C15" s="11" t="s">
        <v>9</v>
      </c>
      <c r="D15" cm="1">
        <f t="array" ref="D15">BNS_Get(D12, $A8, $B8, $C8, $D8, $E8, $F8, $G8, $D$4, $B$4)</f>
        <v>0.64192039355722375</v>
      </c>
      <c r="E15" cm="1">
        <f t="array" ref="E15">BNS_Get(E12, $A8, $B8, $C8, $D8, $E8, $F8, $G8, $D$4, $B$4)</f>
        <v>1.7124432906097574E-2</v>
      </c>
      <c r="F15" cm="1">
        <f t="array" ref="F15">BNS_Get(F12, $A8, $B8, $C8, $D8, $E8, $F8, $G8, $D$4, $B$4)</f>
        <v>140.17194541033288</v>
      </c>
      <c r="G15" cm="1">
        <f t="array" ref="G15">BNS_Get(G12, $A8, $B8, $C8, $D8, $E8, $F8, $G8, $D$4, $B$4)</f>
        <v>-2336.608239581984</v>
      </c>
      <c r="H15" cm="1">
        <f t="array" ref="H15">BNS_Get(H12, $A8, $B8, $C8, $D8, $E8, $F8, $G8, $D$4, $B$4)</f>
        <v>76.127597563030307</v>
      </c>
      <c r="I15" cm="1">
        <f t="array" ref="I15">BNS_Get(I12, $A8, $B8, $C8, $D8, $E8, $F8, $G8, $D$4, $B$4)</f>
        <v>35.792880060093971</v>
      </c>
      <c r="J15" cm="1">
        <f t="array" ref="J15">BNS_Get(J12, $A8, $B8, $C8, $D8, $E8, $F8, $G8, $D$4, $B$4)</f>
        <v>11.312179375178534</v>
      </c>
      <c r="K15" s="2"/>
    </row>
    <row r="16" spans="1:16" ht="15" thickBot="1" x14ac:dyDescent="0.4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4"/>
    </row>
    <row r="17" spans="1:11" ht="15" thickBot="1" x14ac:dyDescent="0.4"/>
    <row r="18" spans="1:11" x14ac:dyDescent="0.35">
      <c r="A18" s="23"/>
      <c r="B18" s="7"/>
      <c r="C18" s="7"/>
      <c r="D18" s="7"/>
      <c r="E18" s="7"/>
      <c r="F18" s="7"/>
      <c r="G18" s="7"/>
      <c r="H18" s="7"/>
      <c r="I18" s="7"/>
      <c r="J18" s="7"/>
      <c r="K18" s="8"/>
    </row>
    <row r="19" spans="1:11" ht="18.5" x14ac:dyDescent="0.45">
      <c r="A19" s="9"/>
      <c r="B19" s="72" t="str">
        <f>CONCATENATE("Parameters for EOS Model: ",IF(B4,CONCATENATE("( ", ROUND(A11,1)," degF and ",ROUND(C25,3)," MW Hydrocarbon Gas"),CONCATENATE("( ", ROUND(A8,1)," degF and ",ROUND(C25,3)," MW Hydrocarbon Gas )")))</f>
        <v>Parameters for EOS Model: ( 70 degF and 44.097 MW Hydrocarbon Gas</v>
      </c>
      <c r="C19" s="73"/>
      <c r="D19" s="73"/>
      <c r="E19" s="73"/>
      <c r="F19" s="73"/>
      <c r="G19" s="73"/>
      <c r="H19" s="73"/>
      <c r="I19" s="73"/>
      <c r="J19" s="74"/>
      <c r="K19" s="2"/>
    </row>
    <row r="20" spans="1:11" x14ac:dyDescent="0.35">
      <c r="A20" s="9"/>
      <c r="B20" s="40" t="s">
        <v>21</v>
      </c>
      <c r="C20" s="41" t="s">
        <v>22</v>
      </c>
      <c r="D20" s="41" t="s">
        <v>23</v>
      </c>
      <c r="E20" s="41" t="s">
        <v>24</v>
      </c>
      <c r="F20" s="41" t="s">
        <v>25</v>
      </c>
      <c r="G20" s="41" t="s">
        <v>26</v>
      </c>
      <c r="H20" s="41" t="s">
        <v>27</v>
      </c>
      <c r="I20" s="41" t="s">
        <v>28</v>
      </c>
      <c r="J20" s="42" t="s">
        <v>29</v>
      </c>
      <c r="K20" s="2"/>
    </row>
    <row r="21" spans="1:11" x14ac:dyDescent="0.35">
      <c r="A21" s="9"/>
      <c r="B21" s="25" t="s">
        <v>4</v>
      </c>
      <c r="C21" s="26">
        <v>44.01</v>
      </c>
      <c r="D21" s="26">
        <v>547.41600000000005</v>
      </c>
      <c r="E21" s="26">
        <v>1069.51</v>
      </c>
      <c r="F21" s="27">
        <v>0.12253</v>
      </c>
      <c r="G21" s="27">
        <v>-0.27606999999999998</v>
      </c>
      <c r="H21" s="5">
        <v>0.42767100000000002</v>
      </c>
      <c r="I21" s="5">
        <v>6.9639699999999999E-2</v>
      </c>
      <c r="J21" s="28">
        <v>1.46357</v>
      </c>
      <c r="K21" s="2"/>
    </row>
    <row r="22" spans="1:11" x14ac:dyDescent="0.35">
      <c r="A22" s="9"/>
      <c r="B22" s="25" t="s">
        <v>5</v>
      </c>
      <c r="C22" s="26">
        <v>34.082000000000001</v>
      </c>
      <c r="D22" s="26">
        <v>672.12</v>
      </c>
      <c r="E22" s="26">
        <v>1299.97</v>
      </c>
      <c r="F22" s="27">
        <v>4.9090000000000002E-2</v>
      </c>
      <c r="G22" s="27">
        <v>-0.22900999999999999</v>
      </c>
      <c r="H22" s="5">
        <v>0.43672499999999997</v>
      </c>
      <c r="I22" s="5">
        <v>7.2434499999999999E-2</v>
      </c>
      <c r="J22" s="28">
        <v>1.4681200000000001</v>
      </c>
      <c r="K22" s="2"/>
    </row>
    <row r="23" spans="1:11" x14ac:dyDescent="0.35">
      <c r="A23" s="9"/>
      <c r="B23" s="25" t="s">
        <v>6</v>
      </c>
      <c r="C23" s="26">
        <v>28.013999999999999</v>
      </c>
      <c r="D23" s="26">
        <v>227.16</v>
      </c>
      <c r="E23" s="26">
        <v>492.84</v>
      </c>
      <c r="F23" s="27">
        <v>3.6999999999999998E-2</v>
      </c>
      <c r="G23" s="27">
        <v>-0.21065999999999999</v>
      </c>
      <c r="H23" s="5">
        <v>0.45723599999999998</v>
      </c>
      <c r="I23" s="5">
        <v>7.7796100000000007E-2</v>
      </c>
      <c r="J23" s="28">
        <v>1.3552900000000001</v>
      </c>
      <c r="K23" s="2"/>
    </row>
    <row r="24" spans="1:11" x14ac:dyDescent="0.35">
      <c r="A24" s="9"/>
      <c r="B24" s="25" t="s">
        <v>7</v>
      </c>
      <c r="C24" s="26">
        <v>2.016</v>
      </c>
      <c r="D24" s="26">
        <v>47.43</v>
      </c>
      <c r="E24" s="26">
        <v>187.53</v>
      </c>
      <c r="F24" s="27">
        <v>-0.217</v>
      </c>
      <c r="G24" s="27">
        <v>-0.36270000000000002</v>
      </c>
      <c r="H24" s="5">
        <v>0.45723599999999998</v>
      </c>
      <c r="I24" s="5">
        <v>7.7796100000000007E-2</v>
      </c>
      <c r="J24" s="28">
        <v>0.68474000000000002</v>
      </c>
      <c r="K24" s="2"/>
    </row>
    <row r="25" spans="1:11" x14ac:dyDescent="0.35">
      <c r="A25" s="9"/>
      <c r="B25" s="29" t="s">
        <v>30</v>
      </c>
      <c r="C25" s="53">
        <f>IF(SUM(D8:G8)=1, 16.0425, MAX(16.0425, (C8*28.97 - (44.01*D8 + 34.082*E8 + F8*28.014 + G8*2.016))/(1-SUM(D8:G8))))</f>
        <v>44.097000000000016</v>
      </c>
      <c r="D25" s="30">
        <f>IF(D4,2695.148*(C25-16.042)/(274.3417+C25-16.042)+343.008,1098.109*(C25-16.042)/(101.529237+C25-16.042)+343.008)</f>
        <v>580.74870603201543</v>
      </c>
      <c r="E25" s="30">
        <f xml:space="preserve"> D25 * 10.731577089016 / (IF(D4,0.174981*(C25 - 16.0425),0.170931432*(C25 - 16.0425))+5.51852587149056)</f>
        <v>604.26573625024457</v>
      </c>
      <c r="F25" s="31">
        <v>-3.8989999999999997E-2</v>
      </c>
      <c r="G25" s="31">
        <v>-0.19076000000000001</v>
      </c>
      <c r="H25" s="32">
        <v>0.45723599999999998</v>
      </c>
      <c r="I25" s="32">
        <v>7.7796100000000007E-2</v>
      </c>
      <c r="J25" s="33">
        <f xml:space="preserve"> 0.0579424 * (C25 - 16.042) + 1.44419</f>
        <v>3.069764032000001</v>
      </c>
      <c r="K25" s="2"/>
    </row>
    <row r="26" spans="1:11" x14ac:dyDescent="0.35">
      <c r="A26" s="9"/>
      <c r="K26" s="2"/>
    </row>
    <row r="27" spans="1:11" x14ac:dyDescent="0.35">
      <c r="A27" s="9"/>
      <c r="B27" s="75" t="s">
        <v>31</v>
      </c>
      <c r="C27" s="76"/>
      <c r="D27" s="76"/>
      <c r="E27" s="76"/>
      <c r="F27" s="76"/>
      <c r="G27" s="77"/>
      <c r="K27" s="2"/>
    </row>
    <row r="28" spans="1:11" x14ac:dyDescent="0.35">
      <c r="A28" s="9"/>
      <c r="B28" s="24"/>
      <c r="C28" s="40" t="s">
        <v>4</v>
      </c>
      <c r="D28" s="41" t="s">
        <v>5</v>
      </c>
      <c r="E28" s="41" t="s">
        <v>6</v>
      </c>
      <c r="F28" s="41" t="s">
        <v>7</v>
      </c>
      <c r="G28" s="42" t="s">
        <v>30</v>
      </c>
      <c r="H28" s="11" t="s">
        <v>41</v>
      </c>
      <c r="I28" t="s">
        <v>43</v>
      </c>
      <c r="K28" s="2"/>
    </row>
    <row r="29" spans="1:11" x14ac:dyDescent="0.35">
      <c r="A29" s="9"/>
      <c r="B29" s="43" t="s">
        <v>4</v>
      </c>
      <c r="C29" s="49">
        <v>0</v>
      </c>
      <c r="D29" s="46">
        <f>C30</f>
        <v>0.10581787357689038</v>
      </c>
      <c r="E29" s="46">
        <f>C31</f>
        <v>-0.13008835208156327</v>
      </c>
      <c r="F29" s="46">
        <f>C32</f>
        <v>-7.7889678334749357E-2</v>
      </c>
      <c r="G29" s="47">
        <f>C33</f>
        <v>0.15769366086035413</v>
      </c>
      <c r="I29" t="s">
        <v>42</v>
      </c>
      <c r="K29" s="2"/>
    </row>
    <row r="30" spans="1:11" x14ac:dyDescent="0.35">
      <c r="A30" s="9"/>
      <c r="B30" s="44" t="s">
        <v>5</v>
      </c>
      <c r="C30" s="46">
        <f>0.248638+-0.138185*547.416/degR</f>
        <v>0.10581787357689038</v>
      </c>
      <c r="D30" s="49">
        <v>0</v>
      </c>
      <c r="E30" s="46">
        <f>D31</f>
        <v>9.305858385726426E-2</v>
      </c>
      <c r="F30" s="49">
        <f>D32</f>
        <v>0</v>
      </c>
      <c r="G30" s="47">
        <f>D33</f>
        <v>3.4333222610784392E-2</v>
      </c>
      <c r="K30" s="2"/>
    </row>
    <row r="31" spans="1:11" x14ac:dyDescent="0.35">
      <c r="A31" s="9"/>
      <c r="B31" s="44" t="s">
        <v>6</v>
      </c>
      <c r="C31" s="46">
        <f>-0.25+0.11602*547.416/degR</f>
        <v>-0.13008835208156327</v>
      </c>
      <c r="D31" s="46">
        <f>-0.204414+0.234417*672.12/degR</f>
        <v>9.305858385726426E-2</v>
      </c>
      <c r="E31" s="49">
        <v>0</v>
      </c>
      <c r="F31" s="46">
        <f>E32</f>
        <v>-0.1324511288020391</v>
      </c>
      <c r="G31" s="47">
        <f>E33</f>
        <v>-4.160725970179445E-2</v>
      </c>
      <c r="H31" s="52"/>
      <c r="K31" s="2"/>
    </row>
    <row r="32" spans="1:11" x14ac:dyDescent="0.35">
      <c r="A32" s="9"/>
      <c r="B32" s="44" t="s">
        <v>7</v>
      </c>
      <c r="C32" s="46">
        <f>-0.247153+0.16377*547.416/degR</f>
        <v>-7.7889678334749357E-2</v>
      </c>
      <c r="D32" s="49">
        <v>0</v>
      </c>
      <c r="E32" s="46">
        <f>-0.166253+0.078813*227.16/degR</f>
        <v>-0.1324511288020391</v>
      </c>
      <c r="F32" s="49">
        <v>0</v>
      </c>
      <c r="G32" s="47">
        <f>F33</f>
        <v>-1.5096965826504591E-2</v>
      </c>
      <c r="K32" s="2"/>
    </row>
    <row r="33" spans="1:11" x14ac:dyDescent="0.35">
      <c r="A33" s="9"/>
      <c r="B33" s="45" t="s">
        <v>30</v>
      </c>
      <c r="C33" s="48">
        <f>-0.145561+0.276572*$D$25/degR</f>
        <v>0.15769366086035413</v>
      </c>
      <c r="D33" s="48">
        <f>0.16852-0.12238*$D$25/degR</f>
        <v>3.4333222610784392E-2</v>
      </c>
      <c r="E33" s="48">
        <f>-0.108+0.060551*$D$25/degR</f>
        <v>-4.160725970179445E-2</v>
      </c>
      <c r="F33" s="48">
        <f>-0.0620119+0.042787*$D$25/degR</f>
        <v>-1.5096965826504591E-2</v>
      </c>
      <c r="G33" s="50">
        <v>0</v>
      </c>
      <c r="K33" s="2"/>
    </row>
    <row r="34" spans="1:11" x14ac:dyDescent="0.35">
      <c r="A34" s="9"/>
      <c r="B34" s="11"/>
      <c r="K34" s="2"/>
    </row>
    <row r="35" spans="1:11" x14ac:dyDescent="0.35">
      <c r="A35" s="9"/>
      <c r="K35" s="2"/>
    </row>
    <row r="36" spans="1:11" x14ac:dyDescent="0.35">
      <c r="A36" s="9"/>
      <c r="B36" s="63" t="s">
        <v>32</v>
      </c>
      <c r="C36" s="64"/>
      <c r="D36" s="64"/>
      <c r="E36" s="64"/>
      <c r="F36" s="64"/>
      <c r="G36" s="65"/>
      <c r="K36" s="2"/>
    </row>
    <row r="37" spans="1:11" x14ac:dyDescent="0.35">
      <c r="A37" s="9"/>
      <c r="B37" s="37" t="s">
        <v>33</v>
      </c>
      <c r="C37" s="38" t="s">
        <v>34</v>
      </c>
      <c r="D37" s="38" t="s">
        <v>35</v>
      </c>
      <c r="E37" s="38" t="s">
        <v>36</v>
      </c>
      <c r="F37" s="38" t="s">
        <v>37</v>
      </c>
      <c r="G37" s="39" t="s">
        <v>38</v>
      </c>
      <c r="K37" s="2"/>
    </row>
    <row r="38" spans="1:11" x14ac:dyDescent="0.35">
      <c r="A38" s="9"/>
      <c r="B38" s="34">
        <v>0.1023</v>
      </c>
      <c r="C38" s="35">
        <v>2.3363999999999999E-2</v>
      </c>
      <c r="D38" s="35">
        <v>5.8533000000000002E-2</v>
      </c>
      <c r="E38" s="51">
        <v>-3.9286700000000001E-2</v>
      </c>
      <c r="F38" s="51">
        <v>9.2632099999999992E-3</v>
      </c>
      <c r="G38" s="36">
        <v>0.1</v>
      </c>
      <c r="K38" s="2"/>
    </row>
    <row r="39" spans="1:11" ht="15" thickBot="1" x14ac:dyDescent="0.4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4"/>
    </row>
  </sheetData>
  <mergeCells count="7">
    <mergeCell ref="B36:G36"/>
    <mergeCell ref="A1:I1"/>
    <mergeCell ref="A2:I2"/>
    <mergeCell ref="M2:N2"/>
    <mergeCell ref="B19:J19"/>
    <mergeCell ref="B27:G27"/>
    <mergeCell ref="D6:G6"/>
  </mergeCells>
  <dataValidations count="1">
    <dataValidation type="list" allowBlank="1" showInputMessage="1" showErrorMessage="1" sqref="D4 B4" xr:uid="{AEF5BD01-8882-4378-A123-3B8814845B43}">
      <formula1>$P$3:$P$4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1ac37e1-ae52-4def-892c-d08a8a65f51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97C0BDB29574BAD6311EA27BA3A4A" ma:contentTypeVersion="19" ma:contentTypeDescription="Create a new document." ma:contentTypeScope="" ma:versionID="9087574615577466f981d1beb691d829">
  <xsd:schema xmlns:xsd="http://www.w3.org/2001/XMLSchema" xmlns:xs="http://www.w3.org/2001/XMLSchema" xmlns:p="http://schemas.microsoft.com/office/2006/metadata/properties" xmlns:ns3="21ac37e1-ae52-4def-892c-d08a8a65f512" xmlns:ns4="d42b05ad-7af4-4d3d-9a58-009a501d6ea3" targetNamespace="http://schemas.microsoft.com/office/2006/metadata/properties" ma:root="true" ma:fieldsID="1050441332f82ef455e2e659189f6fdc" ns3:_="" ns4:_="">
    <xsd:import namespace="21ac37e1-ae52-4def-892c-d08a8a65f512"/>
    <xsd:import namespace="d42b05ad-7af4-4d3d-9a58-009a501d6e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c37e1-ae52-4def-892c-d08a8a65f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b05ad-7af4-4d3d-9a58-009a501d6ea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E2BD58A-3D68-4CDB-86A4-88C5AD26E65F}">
  <ds:schemaRefs>
    <ds:schemaRef ds:uri="http://schemas.microsoft.com/office/2006/documentManagement/types"/>
    <ds:schemaRef ds:uri="21ac37e1-ae52-4def-892c-d08a8a65f512"/>
    <ds:schemaRef ds:uri="http://purl.org/dc/elements/1.1/"/>
    <ds:schemaRef ds:uri="http://schemas.microsoft.com/office/2006/metadata/properties"/>
    <ds:schemaRef ds:uri="d42b05ad-7af4-4d3d-9a58-009a501d6ea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8D91F5-2949-4C58-ABEA-086FEF570E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027942-DAB9-4C55-A37B-45DDBE9A8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c37e1-ae52-4def-892c-d08a8a65f512"/>
    <ds:schemaRef ds:uri="d42b05ad-7af4-4d3d-9a58-009a501d6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Company>Santos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mark burgoyne</cp:lastModifiedBy>
  <dcterms:created xsi:type="dcterms:W3CDTF">2025-06-05T00:23:33Z</dcterms:created>
  <dcterms:modified xsi:type="dcterms:W3CDTF">2026-10-02T22:04:55Z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