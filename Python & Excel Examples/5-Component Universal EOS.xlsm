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0-Paper v2/git/5_Component_PengRobinson_Z-Factor/Python &amp; Excel Examples/"/>
    </mc:Choice>
  </mc:AlternateContent>
  <xr:revisionPtr revIDLastSave="321" documentId="8_{BE56C7DD-C2F9-4A92-81C4-6829ADEFE395}" xr6:coauthVersionLast="47" xr6:coauthVersionMax="47" xr10:uidLastSave="{D05EEC24-DFDB-4E8A-938E-5FFF5FF30CCD}"/>
  <bookViews>
    <workbookView xWindow="-110" yWindow="-110" windowWidth="24220" windowHeight="1550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C25" i="1"/>
  <c r="D15" i="1" a="1"/>
  <c r="D14" i="1" a="1"/>
  <c r="J15" i="1" a="1"/>
  <c r="I15" i="1" a="1"/>
  <c r="H15" i="1" a="1"/>
  <c r="F15" i="1" a="1"/>
  <c r="G15" i="1" a="1"/>
  <c r="E15" i="1" a="1"/>
  <c r="E15" i="1" l="1"/>
  <c r="H15" i="1"/>
  <c r="G15" i="1"/>
  <c r="F15" i="1"/>
  <c r="I15" i="1"/>
  <c r="J15" i="1"/>
  <c r="D15" i="1"/>
  <c r="E14" i="1"/>
  <c r="F14" i="1"/>
  <c r="G14" i="1"/>
  <c r="H14" i="1"/>
  <c r="I14" i="1"/>
  <c r="J14" i="1"/>
  <c r="D14" i="1"/>
  <c r="D25" i="1"/>
  <c r="E25" i="1" s="1"/>
  <c r="M8" i="1"/>
  <c r="J25" i="1" l="1"/>
  <c r="F30" i="1"/>
  <c r="P6" i="1"/>
  <c r="C30" i="1" s="1"/>
  <c r="D29" i="1" s="1"/>
  <c r="A11" i="1"/>
  <c r="B19" i="1" s="1"/>
  <c r="B11" i="1"/>
  <c r="B10" i="1"/>
  <c r="A10" i="1"/>
  <c r="A7" i="1"/>
  <c r="B7" i="1"/>
  <c r="J13" i="1"/>
  <c r="I13" i="1"/>
  <c r="H13" i="1"/>
  <c r="G13" i="1"/>
  <c r="F13" i="1"/>
  <c r="D31" i="1" l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C33" i="1"/>
  <c r="G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<sst xmlns="http://schemas.openxmlformats.org/spreadsheetml/2006/main" count="63" uniqueCount="49">
  <si>
    <t>Z</t>
  </si>
  <si>
    <t>Vis</t>
  </si>
  <si>
    <t>H</t>
  </si>
  <si>
    <t xml:space="preserve"> Cp</t>
  </si>
  <si>
    <t xml:space="preserve"> Cv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</si>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</sst>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F8" sqref="F8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47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48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19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17.678000000000001</v>
      </c>
      <c r="N3" s="2" t="s">
        <v>41</v>
      </c>
      <c r="P3" t="b">
        <v>1</v>
      </c>
    </row>
    <row r="4" spans="1:16" x14ac:dyDescent="0.35">
      <c r="A4" s="17" t="s">
        <v>21</v>
      </c>
      <c r="B4" s="18" t="b">
        <v>0</v>
      </c>
      <c r="C4" s="11" t="s">
        <v>45</v>
      </c>
      <c r="D4" s="18" t="b">
        <v>0</v>
      </c>
      <c r="K4" s="2"/>
      <c r="M4" s="1">
        <v>0.22040000000000001</v>
      </c>
      <c r="N4" s="2" t="s">
        <v>14</v>
      </c>
      <c r="P4" t="b">
        <v>0</v>
      </c>
    </row>
    <row r="5" spans="1:16" x14ac:dyDescent="0.35">
      <c r="A5" s="17"/>
      <c r="K5" s="2"/>
      <c r="M5" s="1">
        <v>0</v>
      </c>
      <c r="N5" s="2" t="s">
        <v>15</v>
      </c>
    </row>
    <row r="6" spans="1:16" x14ac:dyDescent="0.35">
      <c r="A6" s="9"/>
      <c r="D6" s="78" t="s">
        <v>46</v>
      </c>
      <c r="E6" s="79"/>
      <c r="F6" s="79"/>
      <c r="G6" s="80"/>
      <c r="K6" s="2"/>
      <c r="M6" s="1">
        <v>2.1999999999999999E-2</v>
      </c>
      <c r="N6" s="2" t="s">
        <v>16</v>
      </c>
      <c r="O6" s="6" t="s">
        <v>40</v>
      </c>
      <c r="P6">
        <f>IF(B4,(A8+273.15)*9/5,A8+459.67)</f>
        <v>824.67000000000007</v>
      </c>
    </row>
    <row r="7" spans="1:16" x14ac:dyDescent="0.35">
      <c r="A7" s="60" t="str">
        <f>IF($B$4,"Deg C","Deg F")</f>
        <v>Deg F</v>
      </c>
      <c r="B7" s="61" t="str">
        <f>IF($B$4,"MPa","psia")</f>
        <v>psia</v>
      </c>
      <c r="C7" s="62" t="s">
        <v>13</v>
      </c>
      <c r="D7" s="55" t="s">
        <v>5</v>
      </c>
      <c r="E7" s="10" t="s">
        <v>6</v>
      </c>
      <c r="F7" s="10" t="s">
        <v>7</v>
      </c>
      <c r="G7" s="56" t="s">
        <v>8</v>
      </c>
      <c r="H7" s="10"/>
      <c r="K7" s="2"/>
      <c r="M7" s="1">
        <v>0</v>
      </c>
      <c r="N7" s="2" t="s">
        <v>17</v>
      </c>
    </row>
    <row r="8" spans="1:16" ht="15" thickBot="1" x14ac:dyDescent="0.4">
      <c r="A8" s="57">
        <v>365</v>
      </c>
      <c r="B8" s="58">
        <v>7015</v>
      </c>
      <c r="C8" s="59">
        <v>0.746</v>
      </c>
      <c r="D8" s="57">
        <v>9.1200000000000003E-2</v>
      </c>
      <c r="E8" s="58">
        <v>0.1075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0.81839712806351406</v>
      </c>
      <c r="N8" s="4" t="s">
        <v>18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C</v>
      </c>
      <c r="B10" s="10" t="str">
        <f>IF($B$4,"psia", "MPa")</f>
        <v>MPa</v>
      </c>
      <c r="K10" s="2"/>
    </row>
    <row r="11" spans="1:16" x14ac:dyDescent="0.35">
      <c r="A11" s="20">
        <f>IF($B$4,A8*1.8+32,(A8-32)/1.8)</f>
        <v>185</v>
      </c>
      <c r="B11" s="21">
        <f>IF(B4,B8*145.038,B8/145.038)</f>
        <v>48.366634950840464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20</v>
      </c>
      <c r="G12" s="10" t="s">
        <v>2</v>
      </c>
      <c r="H12" s="10" t="s">
        <v>3</v>
      </c>
      <c r="I12" s="10" t="s">
        <v>4</v>
      </c>
      <c r="J12" s="10" t="s">
        <v>9</v>
      </c>
      <c r="K12" s="22"/>
      <c r="L12" s="10"/>
    </row>
    <row r="13" spans="1:16" x14ac:dyDescent="0.35">
      <c r="A13" s="9"/>
      <c r="D13" s="10"/>
      <c r="E13" s="10" t="s">
        <v>11</v>
      </c>
      <c r="F13" s="10" t="str">
        <f>IF($B$4,"(kg/m3)","(lb/cuft)")</f>
        <v>(lb/cuft)</v>
      </c>
      <c r="G13" s="10" t="str">
        <f>IF($B$4,"(kJ/(kmol·K))","(Btu/(lb-mol.R))")</f>
        <v>(Btu/(lb-mol.R))</v>
      </c>
      <c r="H13" s="10" t="str">
        <f>IF($B$4,"(kJ/(kmol·K))","(Btu/(lb-mol.R))")</f>
        <v>(Btu/(lb-mol.R))</v>
      </c>
      <c r="I13" s="10" t="str">
        <f>IF($B$4,"(kJ/(kmol·K))","(Btu/(lb-mol.R))")</f>
        <v>(Btu/(lb-mol.R))</v>
      </c>
      <c r="J13" s="10" t="str">
        <f>IF($B$4,"(degC/MPa)","(degR/psia)")</f>
        <v>(degR/psia)</v>
      </c>
      <c r="K13" s="22"/>
    </row>
    <row r="14" spans="1:16" x14ac:dyDescent="0.35">
      <c r="A14" s="9"/>
      <c r="C14" s="11" t="s">
        <v>12</v>
      </c>
      <c r="D14">
        <f t="array" ref="D14:J14">BNS_Full( A8, B8, C8, D8, E8, F8, G8, D4, TRUE, TRUE, TRUE, B4)</f>
        <v>1.1236859794713763</v>
      </c>
      <c r="E14">
        <v>3.0418490884174219E-2</v>
      </c>
      <c r="F14">
        <v>15.24496003978037</v>
      </c>
      <c r="G14">
        <v>1687.81773597455</v>
      </c>
      <c r="H14">
        <v>13.3990540633816</v>
      </c>
      <c r="I14">
        <v>9.3013700259849212</v>
      </c>
      <c r="J14">
        <v>3.3888568931168006E-3</v>
      </c>
      <c r="K14" s="2"/>
    </row>
    <row r="15" spans="1:16" x14ac:dyDescent="0.35">
      <c r="A15" s="9"/>
      <c r="C15" s="11" t="s">
        <v>10</v>
      </c>
      <c r="D15" cm="1">
        <f t="array" ref="D15">BNS_Get(D12, $A8, $B8, $C8, $D8, $E8, $F8, $G8, $D$4, $B$4)</f>
        <v>1.1236859794713763</v>
      </c>
      <c r="E15" cm="1">
        <f t="array" ref="E15">BNS_Get(E12, $A8, $B8, $C8, $D8, $E8, $F8, $G8, $D$4, $B$4)</f>
        <v>3.0418490884174219E-2</v>
      </c>
      <c r="F15" cm="1">
        <f t="array" ref="F15">BNS_Get(F12, $A8, $B8, $C8, $D8, $E8, $F8, $G8, $D$4, $B$4)</f>
        <v>15.24496003978037</v>
      </c>
      <c r="G15" cm="1">
        <f t="array" ref="G15">BNS_Get(G12, $A8, $B8, $C8, $D8, $E8, $F8, $G8, $D$4, $B$4)</f>
        <v>1687.81773597455</v>
      </c>
      <c r="H15" cm="1">
        <f t="array" ref="H15">BNS_Get(H12, $A8, $B8, $C8, $D8, $E8, $F8, $G8, $D$4, $B$4)</f>
        <v>13.3990540633816</v>
      </c>
      <c r="I15" cm="1">
        <f t="array" ref="I15">BNS_Get(I12, $A8, $B8, $C8, $D8, $E8, $F8, $G8, $D$4, $B$4)</f>
        <v>9.3013700259849212</v>
      </c>
      <c r="J15" cm="1">
        <f t="array" ref="J15">BNS_Get(J12, $A8, $B8, $C8, $D8, $E8, $F8, $G8, $D$4, $B$4)</f>
        <v>3.3888568931168006E-3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( 365 degF and 17.389 MW Hydrocarbon Gas )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22</v>
      </c>
      <c r="C20" s="41" t="s">
        <v>23</v>
      </c>
      <c r="D20" s="41" t="s">
        <v>24</v>
      </c>
      <c r="E20" s="41" t="s">
        <v>25</v>
      </c>
      <c r="F20" s="41" t="s">
        <v>26</v>
      </c>
      <c r="G20" s="41" t="s">
        <v>27</v>
      </c>
      <c r="H20" s="41" t="s">
        <v>28</v>
      </c>
      <c r="I20" s="41" t="s">
        <v>29</v>
      </c>
      <c r="J20" s="42" t="s">
        <v>30</v>
      </c>
      <c r="K20" s="2"/>
    </row>
    <row r="21" spans="1:11" x14ac:dyDescent="0.35">
      <c r="A21" s="9"/>
      <c r="B21" s="25" t="s">
        <v>5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6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7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8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31</v>
      </c>
      <c r="C25" s="53">
        <f>IF(SUM(D8:G8)=1, 16.0425, MAX(16.0425, (C8*28.97 - (44.01*D8 + 34.082*E8 + F8*28.014 + G8*2.016))/(1-SUM(D8:G8))))</f>
        <v>17.389358542368651</v>
      </c>
      <c r="D25" s="30">
        <f>IF(D4,2695.148*(C25-16.042)/(274.3417+C25-16.042)+343.008,1098.109*(C25-16.042)/(101.529237+C25-16.042)+343.008)</f>
        <v>357.38976033918772</v>
      </c>
      <c r="E25" s="30">
        <f xml:space="preserve"> D25 * 10.731577089016 / (IF(D4,0.174981*(C25 - 16.0425),0.170931432*(C25 - 16.0425))+5.51852587149056)</f>
        <v>667.16385507049347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1.5222591876053413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32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5</v>
      </c>
      <c r="D28" s="41" t="s">
        <v>6</v>
      </c>
      <c r="E28" s="41" t="s">
        <v>7</v>
      </c>
      <c r="F28" s="41" t="s">
        <v>8</v>
      </c>
      <c r="G28" s="42" t="s">
        <v>31</v>
      </c>
      <c r="H28" s="11" t="s">
        <v>42</v>
      </c>
      <c r="I28" t="s">
        <v>44</v>
      </c>
      <c r="K28" s="2"/>
    </row>
    <row r="29" spans="1:11" x14ac:dyDescent="0.35">
      <c r="A29" s="9"/>
      <c r="B29" s="43" t="s">
        <v>5</v>
      </c>
      <c r="C29" s="49">
        <v>0</v>
      </c>
      <c r="D29" s="46">
        <f>C30</f>
        <v>0.15691078795154426</v>
      </c>
      <c r="E29" s="46">
        <f>C31</f>
        <v>-0.17298591640292482</v>
      </c>
      <c r="F29" s="46">
        <f>C32</f>
        <v>-0.13844246327621959</v>
      </c>
      <c r="G29" s="47">
        <f>C33</f>
        <v>-2.5702146402161077E-2</v>
      </c>
      <c r="I29" t="s">
        <v>43</v>
      </c>
      <c r="K29" s="2"/>
    </row>
    <row r="30" spans="1:11" x14ac:dyDescent="0.35">
      <c r="A30" s="9"/>
      <c r="B30" s="44" t="s">
        <v>6</v>
      </c>
      <c r="C30" s="46">
        <f>0.248638+-0.138185*547.416/degR</f>
        <v>0.15691078795154426</v>
      </c>
      <c r="D30" s="49">
        <v>0</v>
      </c>
      <c r="E30" s="46">
        <f>D31</f>
        <v>-1.3360179635490577E-2</v>
      </c>
      <c r="F30" s="49">
        <f>D32</f>
        <v>0</v>
      </c>
      <c r="G30" s="47">
        <f>D33</f>
        <v>0.11548380507316892</v>
      </c>
      <c r="K30" s="2"/>
    </row>
    <row r="31" spans="1:11" x14ac:dyDescent="0.35">
      <c r="A31" s="9"/>
      <c r="B31" s="44" t="s">
        <v>7</v>
      </c>
      <c r="C31" s="46">
        <f>-0.25+0.11602*547.416/degR</f>
        <v>-0.17298591640292482</v>
      </c>
      <c r="D31" s="46">
        <f>-0.204414+0.234417*672.12/degR</f>
        <v>-1.3360179635490577E-2</v>
      </c>
      <c r="E31" s="49">
        <v>0</v>
      </c>
      <c r="F31" s="46">
        <f>E32</f>
        <v>-0.14454351489686784</v>
      </c>
      <c r="G31" s="47">
        <f>E33</f>
        <v>-8.1758827921110069E-2</v>
      </c>
      <c r="H31" s="52"/>
      <c r="K31" s="2"/>
    </row>
    <row r="32" spans="1:11" x14ac:dyDescent="0.35">
      <c r="A32" s="9"/>
      <c r="B32" s="44" t="s">
        <v>8</v>
      </c>
      <c r="C32" s="46">
        <f>-0.247153+0.16377*547.416/degR</f>
        <v>-0.13844246327621959</v>
      </c>
      <c r="D32" s="49">
        <v>0</v>
      </c>
      <c r="E32" s="46">
        <f>-0.166253+0.078813*227.16/degR</f>
        <v>-0.14454351489686784</v>
      </c>
      <c r="F32" s="49">
        <v>0</v>
      </c>
      <c r="G32" s="47">
        <f>F33</f>
        <v>-4.3469166936310498E-2</v>
      </c>
      <c r="K32" s="2"/>
    </row>
    <row r="33" spans="1:11" x14ac:dyDescent="0.35">
      <c r="A33" s="9"/>
      <c r="B33" s="45" t="s">
        <v>31</v>
      </c>
      <c r="C33" s="48">
        <f>-0.145561+0.276572*$D$25/degR</f>
        <v>-2.5702146402161077E-2</v>
      </c>
      <c r="D33" s="48">
        <f>0.16852-0.12238*$D$25/degR</f>
        <v>0.11548380507316892</v>
      </c>
      <c r="E33" s="48">
        <f>-0.108+0.060551*$D$25/degR</f>
        <v>-8.1758827921110069E-2</v>
      </c>
      <c r="F33" s="48">
        <f>-0.0620119+0.042787*$D$25/degR</f>
        <v>-4.3469166936310498E-2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33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34</v>
      </c>
      <c r="C37" s="38" t="s">
        <v>35</v>
      </c>
      <c r="D37" s="38" t="s">
        <v>36</v>
      </c>
      <c r="E37" s="38" t="s">
        <v>37</v>
      </c>
      <c r="F37" s="38" t="s">
        <v>38</v>
      </c>
      <c r="G37" s="39" t="s">
        <v>39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Burgoyne, Mark (Mark)</cp:lastModifiedBy>
  <dcterms:created xsi:type="dcterms:W3CDTF">2025-06-05T00:23:33Z</dcterms:created>
  <dcterms:modified xsi:type="dcterms:W3CDTF">2025-08-13T04:38:15Z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